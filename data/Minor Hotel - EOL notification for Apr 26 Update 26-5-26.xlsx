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ichaya\AllT\Minor\"/>
    </mc:Choice>
  </mc:AlternateContent>
  <xr:revisionPtr revIDLastSave="0" documentId="13_ncr:1_{541529ED-057A-4E0A-96EF-B16E8DC2D4A6}" xr6:coauthVersionLast="47" xr6:coauthVersionMax="47" xr10:uidLastSave="{00000000-0000-0000-0000-000000000000}"/>
  <bookViews>
    <workbookView xWindow="-20610" yWindow="-165" windowWidth="20730" windowHeight="11040" activeTab="2" xr2:uid="{39BDDF46-3BDF-4EB7-AD6C-11C12280A094}"/>
  </bookViews>
  <sheets>
    <sheet name="Sheet2" sheetId="5" r:id="rId1"/>
    <sheet name="Pivot" sheetId="2" state="hidden" r:id="rId2"/>
    <sheet name="details" sheetId="1" r:id="rId3"/>
    <sheet name="status" sheetId="4" r:id="rId4"/>
    <sheet name="Location" sheetId="3" r:id="rId5"/>
  </sheets>
  <externalReferences>
    <externalReference r:id="rId6"/>
    <externalReference r:id="rId7"/>
  </externalReferences>
  <definedNames>
    <definedName name="_xlcn.WorksheetConnection_MinorHotelEOLnotificationforApr26.xlsxTable11" hidden="1">Table1[]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Minor Hotel - EOL notification for Apr 26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26" i="1" l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89" i="1"/>
  <c r="S188" i="1"/>
  <c r="S187" i="1"/>
  <c r="S186" i="1"/>
  <c r="S42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13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112" i="1" l="1"/>
  <c r="R111" i="1"/>
  <c r="R77" i="1"/>
  <c r="G226" i="1" l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O2" i="1" l="1"/>
  <c r="O3" i="1"/>
  <c r="O4" i="1"/>
  <c r="O5" i="1"/>
  <c r="O6" i="1"/>
  <c r="O7" i="1"/>
  <c r="O8" i="1"/>
  <c r="O9" i="1"/>
  <c r="O10" i="1"/>
  <c r="O11" i="1"/>
  <c r="O12" i="1"/>
  <c r="O14" i="1"/>
  <c r="O16" i="1"/>
  <c r="O18" i="1"/>
  <c r="O19" i="1"/>
  <c r="O20" i="1"/>
  <c r="O21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R42" i="1" s="1"/>
  <c r="O43" i="1"/>
  <c r="O44" i="1"/>
  <c r="O45" i="1"/>
  <c r="O47" i="1"/>
  <c r="O48" i="1"/>
  <c r="O49" i="1"/>
  <c r="O50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R110" i="1" s="1"/>
  <c r="O111" i="1"/>
  <c r="O112" i="1"/>
  <c r="O113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50" i="1"/>
  <c r="R150" i="1" s="1"/>
  <c r="O151" i="1"/>
  <c r="R151" i="1" s="1"/>
  <c r="O152" i="1"/>
  <c r="R152" i="1" s="1"/>
  <c r="O153" i="1"/>
  <c r="R153" i="1" s="1"/>
  <c r="O154" i="1"/>
  <c r="R154" i="1" s="1"/>
  <c r="O155" i="1"/>
  <c r="R155" i="1" s="1"/>
  <c r="O156" i="1"/>
  <c r="R156" i="1" s="1"/>
  <c r="O157" i="1"/>
  <c r="R157" i="1" s="1"/>
  <c r="O158" i="1"/>
  <c r="R158" i="1" s="1"/>
  <c r="O159" i="1"/>
  <c r="R159" i="1" s="1"/>
  <c r="O160" i="1"/>
  <c r="R160" i="1" s="1"/>
  <c r="O161" i="1"/>
  <c r="R161" i="1" s="1"/>
  <c r="O162" i="1"/>
  <c r="R162" i="1" s="1"/>
  <c r="O163" i="1"/>
  <c r="R163" i="1" s="1"/>
  <c r="O164" i="1"/>
  <c r="R164" i="1" s="1"/>
  <c r="O165" i="1"/>
  <c r="R165" i="1" s="1"/>
  <c r="O166" i="1"/>
  <c r="R166" i="1" s="1"/>
  <c r="O167" i="1"/>
  <c r="R167" i="1" s="1"/>
  <c r="O168" i="1"/>
  <c r="R168" i="1" s="1"/>
  <c r="O169" i="1"/>
  <c r="R169" i="1" s="1"/>
  <c r="O170" i="1"/>
  <c r="R170" i="1" s="1"/>
  <c r="O171" i="1"/>
  <c r="R171" i="1" s="1"/>
  <c r="O172" i="1"/>
  <c r="R172" i="1" s="1"/>
  <c r="O173" i="1"/>
  <c r="R173" i="1" s="1"/>
  <c r="O174" i="1"/>
  <c r="R174" i="1" s="1"/>
  <c r="O175" i="1"/>
  <c r="R175" i="1" s="1"/>
  <c r="O176" i="1"/>
  <c r="R176" i="1" s="1"/>
  <c r="O177" i="1"/>
  <c r="R177" i="1" s="1"/>
  <c r="O178" i="1"/>
  <c r="R178" i="1" s="1"/>
  <c r="O179" i="1"/>
  <c r="R179" i="1" s="1"/>
  <c r="O180" i="1"/>
  <c r="R180" i="1" s="1"/>
  <c r="O181" i="1"/>
  <c r="R181" i="1" s="1"/>
  <c r="O182" i="1"/>
  <c r="R182" i="1" s="1"/>
  <c r="O183" i="1"/>
  <c r="R183" i="1" s="1"/>
  <c r="O184" i="1"/>
  <c r="R184" i="1" s="1"/>
  <c r="O185" i="1"/>
  <c r="R185" i="1" s="1"/>
  <c r="O186" i="1"/>
  <c r="R186" i="1" s="1"/>
  <c r="O187" i="1"/>
  <c r="R187" i="1" s="1"/>
  <c r="O188" i="1"/>
  <c r="R188" i="1" s="1"/>
  <c r="O189" i="1"/>
  <c r="R189" i="1" s="1"/>
  <c r="O190" i="1"/>
  <c r="R190" i="1" s="1"/>
  <c r="O191" i="1"/>
  <c r="R19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Sathya Priya K34</author>
  </authors>
  <commentList>
    <comment ref="N1" authorId="0" shapeId="0" xr:uid="{14FF7090-A0D3-4604-9624-D85D79ED6063}">
      <text>
        <r>
          <rPr>
            <b/>
            <sz val="9"/>
            <color indexed="81"/>
            <rFont val="Tahoma"/>
            <family val="2"/>
          </rPr>
          <t>Sathya Priya K34:</t>
        </r>
        <r>
          <rPr>
            <sz val="9"/>
            <color indexed="81"/>
            <rFont val="Tahoma"/>
            <family val="2"/>
          </rPr>
          <t xml:space="preserve">
Please select dropdown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8E983-3FDB-457F-A9A8-263D052244B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CD4B0E9-C655-411A-B365-CDD2E784A454}" name="WorksheetConnection_Minor Hotel - EOL notification for Apr 26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MinorHotelEOLnotificationforApr26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Collection Handle by].&amp;[CC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<sst xmlns="http://schemas.openxmlformats.org/spreadsheetml/2006/main" count="2620" uniqueCount="472">
  <si>
    <t>Legal Entity Name</t>
  </si>
  <si>
    <t>Deal</t>
  </si>
  <si>
    <t>ARS</t>
  </si>
  <si>
    <t>Billing Term</t>
  </si>
  <si>
    <t>Tranche ID</t>
  </si>
  <si>
    <t>Tranche Start Date</t>
  </si>
  <si>
    <t>Tranche End Date</t>
  </si>
  <si>
    <t>Units</t>
  </si>
  <si>
    <t>Part Number</t>
  </si>
  <si>
    <t>Product Description</t>
  </si>
  <si>
    <t>Device Status</t>
  </si>
  <si>
    <t>Serial Number</t>
  </si>
  <si>
    <t>Monthly Unit Price</t>
  </si>
  <si>
    <t xml:space="preserve">EOL Status </t>
  </si>
  <si>
    <t>Collection City (Required)</t>
  </si>
  <si>
    <t>Billing Terminated Date</t>
  </si>
  <si>
    <t xml:space="preserve">Minor Hotel Group </t>
  </si>
  <si>
    <t>LILO</t>
  </si>
  <si>
    <t>Yes</t>
  </si>
  <si>
    <t>20XXSC8C00</t>
  </si>
  <si>
    <t>Active</t>
  </si>
  <si>
    <t>Return</t>
  </si>
  <si>
    <t>The ParQ</t>
  </si>
  <si>
    <t>Anantara Hua Hin Resort</t>
  </si>
  <si>
    <t>Anantara Siam Bangkok Hotel</t>
  </si>
  <si>
    <t>Minor Dairy Limited</t>
  </si>
  <si>
    <t>Anantara Riverside Bangkok Resort</t>
  </si>
  <si>
    <t>21C2S4E800</t>
  </si>
  <si>
    <t>Notebook ThinkPad L14 Gen3 CPU Gen 12 IRIS Graphic RAM 16GB</t>
  </si>
  <si>
    <t>M70q</t>
  </si>
  <si>
    <t>Anantara Golden Triangle Elephant Camp &amp; Resort</t>
  </si>
  <si>
    <t>Anantara Layan Phuket Resort</t>
  </si>
  <si>
    <t>T14s Gen 3</t>
  </si>
  <si>
    <t>GM038872</t>
  </si>
  <si>
    <t>GM0388AP</t>
  </si>
  <si>
    <t>L14 Gen 3</t>
  </si>
  <si>
    <t>PW050E00</t>
  </si>
  <si>
    <t>GM0388BC</t>
  </si>
  <si>
    <t>PW050DVJ</t>
  </si>
  <si>
    <t>X1 Carbon 10th Gen (Non-touch)</t>
  </si>
  <si>
    <t>PF48ETKX</t>
  </si>
  <si>
    <t>PW050DXZ</t>
  </si>
  <si>
    <t>PW050DZF</t>
  </si>
  <si>
    <t>PW050DY7</t>
  </si>
  <si>
    <t>PW050DWY</t>
  </si>
  <si>
    <t>PW050DVV</t>
  </si>
  <si>
    <t>PW050DYZ</t>
  </si>
  <si>
    <t>PW050E03</t>
  </si>
  <si>
    <t>PW050DZ6</t>
  </si>
  <si>
    <t>PW050DXC</t>
  </si>
  <si>
    <t>PW050DZ4</t>
  </si>
  <si>
    <t>PW050DYV</t>
  </si>
  <si>
    <t>PW050E08</t>
  </si>
  <si>
    <t>PW050DWZ</t>
  </si>
  <si>
    <t>GM03887P</t>
  </si>
  <si>
    <t>PW050DZK</t>
  </si>
  <si>
    <t>PW050DV4</t>
  </si>
  <si>
    <t>PW050DSW</t>
  </si>
  <si>
    <t>PF48ETN5</t>
  </si>
  <si>
    <t>PW050DXX</t>
  </si>
  <si>
    <t>PW050DYS</t>
  </si>
  <si>
    <t>PW050DXJ</t>
  </si>
  <si>
    <t>PW050DWB</t>
  </si>
  <si>
    <t>PF48ETMA</t>
  </si>
  <si>
    <t>GM0388B1</t>
  </si>
  <si>
    <t>GM03889Y</t>
  </si>
  <si>
    <t>GM03887T</t>
  </si>
  <si>
    <t>T14 Gen 3</t>
  </si>
  <si>
    <t>PF489283</t>
  </si>
  <si>
    <t>PW050DW8</t>
  </si>
  <si>
    <t>PF48ETNX</t>
  </si>
  <si>
    <t>PW050DZT</t>
  </si>
  <si>
    <t>PF487E32</t>
  </si>
  <si>
    <t>PW050DZV</t>
  </si>
  <si>
    <t>PW050DYK</t>
  </si>
  <si>
    <t>GM03886W</t>
  </si>
  <si>
    <t>PF487JLA</t>
  </si>
  <si>
    <t>PW050DSZ</t>
  </si>
  <si>
    <t>PF487E3M</t>
  </si>
  <si>
    <t>PW050DTZ</t>
  </si>
  <si>
    <t>PW050DW6</t>
  </si>
  <si>
    <t>PW050DT3</t>
  </si>
  <si>
    <t>PW050DT0</t>
  </si>
  <si>
    <t>PW050DYC</t>
  </si>
  <si>
    <t>PW050DZX</t>
  </si>
  <si>
    <t>PW050DZN</t>
  </si>
  <si>
    <t>PW050DY1</t>
  </si>
  <si>
    <t>PW050DVR</t>
  </si>
  <si>
    <t>PF487E14</t>
  </si>
  <si>
    <t>M90a Gen 3</t>
  </si>
  <si>
    <t>GM0389K1</t>
  </si>
  <si>
    <t>GM03CD51</t>
  </si>
  <si>
    <t>GM0389KD</t>
  </si>
  <si>
    <t>GM03CD5F</t>
  </si>
  <si>
    <t>GM03CD62</t>
  </si>
  <si>
    <t>GM03CD5P</t>
  </si>
  <si>
    <t>GM0389KL</t>
  </si>
  <si>
    <t>PW050DYT</t>
  </si>
  <si>
    <t>PW050DY5</t>
  </si>
  <si>
    <t>PW050DY8</t>
  </si>
  <si>
    <t>PW050DWS</t>
  </si>
  <si>
    <t>PW050DXA</t>
  </si>
  <si>
    <t>PW050DYG</t>
  </si>
  <si>
    <t>PW050DXF</t>
  </si>
  <si>
    <t>PW050DYP</t>
  </si>
  <si>
    <t>GM03888L</t>
  </si>
  <si>
    <t>PF487BR7</t>
  </si>
  <si>
    <t>PW050DZG</t>
  </si>
  <si>
    <t>PW050DY2</t>
  </si>
  <si>
    <t>GM03888P</t>
  </si>
  <si>
    <t>PW050DTE</t>
  </si>
  <si>
    <t>PF48ETML</t>
  </si>
  <si>
    <t>PW050DVX</t>
  </si>
  <si>
    <t>PF487JKM</t>
  </si>
  <si>
    <t>PW050DTB</t>
  </si>
  <si>
    <t>PW050DZA</t>
  </si>
  <si>
    <t>PW050DVA</t>
  </si>
  <si>
    <t>GM0389KC</t>
  </si>
  <si>
    <t>GM0389KM</t>
  </si>
  <si>
    <t>PW050DVE</t>
  </si>
  <si>
    <t>PW050DXB</t>
  </si>
  <si>
    <t>PW050DTH</t>
  </si>
  <si>
    <t>PW050DWA</t>
  </si>
  <si>
    <t>PW050DYF</t>
  </si>
  <si>
    <t>PW050DYY</t>
  </si>
  <si>
    <t>GM03CD4S</t>
  </si>
  <si>
    <t>GM03CD5S</t>
  </si>
  <si>
    <t>GM03CD5X</t>
  </si>
  <si>
    <t>GM03CD60</t>
  </si>
  <si>
    <t>GM0389KF</t>
  </si>
  <si>
    <t>GM0389L7</t>
  </si>
  <si>
    <t>GM03CD5Q</t>
  </si>
  <si>
    <t>GM0389KB</t>
  </si>
  <si>
    <t>GM03CD61</t>
  </si>
  <si>
    <t>GM03CD66</t>
  </si>
  <si>
    <t>GM03CD5R</t>
  </si>
  <si>
    <t>GM03887B</t>
  </si>
  <si>
    <t>GM03CD63</t>
  </si>
  <si>
    <t>GM03CD68</t>
  </si>
  <si>
    <t>PF487E0C</t>
  </si>
  <si>
    <t>GM038886</t>
  </si>
  <si>
    <t>GM0388BG</t>
  </si>
  <si>
    <t>GM03889A</t>
  </si>
  <si>
    <t>M70a</t>
  </si>
  <si>
    <t>PC2E4ZTW</t>
  </si>
  <si>
    <t>PW050DWW</t>
  </si>
  <si>
    <t>PW050DWD</t>
  </si>
  <si>
    <t>GM0388A9</t>
  </si>
  <si>
    <t>PF48ETMZ</t>
  </si>
  <si>
    <t>PW050DYN</t>
  </si>
  <si>
    <t>PW050DZC</t>
  </si>
  <si>
    <t>PF48EWXJ</t>
  </si>
  <si>
    <t>PW050DYJ</t>
  </si>
  <si>
    <t>PW050DV7</t>
  </si>
  <si>
    <t>GM0388AH</t>
  </si>
  <si>
    <t>PW050E09</t>
  </si>
  <si>
    <t>PW050DVL</t>
  </si>
  <si>
    <t>PW050DTY</t>
  </si>
  <si>
    <t>PW050DZE</t>
  </si>
  <si>
    <t>PW050DY6</t>
  </si>
  <si>
    <t>PW050DTD</t>
  </si>
  <si>
    <t>GM0388BJ</t>
  </si>
  <si>
    <t>GM0388CL</t>
  </si>
  <si>
    <t>PW050DXM</t>
  </si>
  <si>
    <t>PW050DTX</t>
  </si>
  <si>
    <t>PW050DY3</t>
  </si>
  <si>
    <t>PW050DZ9</t>
  </si>
  <si>
    <t>PW050DZQ</t>
  </si>
  <si>
    <t>PW050DVD</t>
  </si>
  <si>
    <t>PW050DV8</t>
  </si>
  <si>
    <t>PW050DY0</t>
  </si>
  <si>
    <t>PW050DV9</t>
  </si>
  <si>
    <t>PW050DYR</t>
  </si>
  <si>
    <t>PF48ETLC</t>
  </si>
  <si>
    <t>PW050DSX</t>
  </si>
  <si>
    <t>GM03887D</t>
  </si>
  <si>
    <t>PW050DZ0</t>
  </si>
  <si>
    <t>PW050DXQ</t>
  </si>
  <si>
    <t>PW050E07</t>
  </si>
  <si>
    <t>PW050DZZ</t>
  </si>
  <si>
    <t>PW050E06</t>
  </si>
  <si>
    <t>PF48EZ42</t>
  </si>
  <si>
    <t>PW050DTV</t>
  </si>
  <si>
    <t>PF48EWZ1</t>
  </si>
  <si>
    <t>PW050DZ7</t>
  </si>
  <si>
    <t>PW050DZB</t>
  </si>
  <si>
    <t>PC2E507J</t>
  </si>
  <si>
    <t>PC2E504C</t>
  </si>
  <si>
    <t>PC2E507R</t>
  </si>
  <si>
    <t>PC2E506G</t>
  </si>
  <si>
    <t>PC2E50AA</t>
  </si>
  <si>
    <t>PC2E505L</t>
  </si>
  <si>
    <t>PC2E506J</t>
  </si>
  <si>
    <t>PC2E505A</t>
  </si>
  <si>
    <t>PC2E507L</t>
  </si>
  <si>
    <t>PC2E5073</t>
  </si>
  <si>
    <t>PC2E507C</t>
  </si>
  <si>
    <t>PC2E506M</t>
  </si>
  <si>
    <t>PC2E505P</t>
  </si>
  <si>
    <t>PC2E506T</t>
  </si>
  <si>
    <t>PC2E502Z</t>
  </si>
  <si>
    <t>PC2E503P</t>
  </si>
  <si>
    <t>PC2E507A</t>
  </si>
  <si>
    <t>PC2E5025</t>
  </si>
  <si>
    <t>PC2E5028</t>
  </si>
  <si>
    <t>PC2E502Y</t>
  </si>
  <si>
    <t>PC2E502D</t>
  </si>
  <si>
    <t>PC2E507S</t>
  </si>
  <si>
    <t>PC2E507B</t>
  </si>
  <si>
    <t>PC2E5026</t>
  </si>
  <si>
    <t>PC2E5062</t>
  </si>
  <si>
    <t>PC2E505X</t>
  </si>
  <si>
    <t>PC2E506C</t>
  </si>
  <si>
    <t>PC2E5070</t>
  </si>
  <si>
    <t>PC2E5069</t>
  </si>
  <si>
    <t>PC2E505K</t>
  </si>
  <si>
    <t>PC2E505F</t>
  </si>
  <si>
    <t>PC2E5031</t>
  </si>
  <si>
    <t>PC2E503A</t>
  </si>
  <si>
    <t>PC2E502N</t>
  </si>
  <si>
    <t>PC2E5078</t>
  </si>
  <si>
    <t>PC2E509K</t>
  </si>
  <si>
    <t>PW05KJS4</t>
  </si>
  <si>
    <t>PW05KJSV</t>
  </si>
  <si>
    <t>PW05KJT8</t>
  </si>
  <si>
    <t>PW05KJSQ</t>
  </si>
  <si>
    <t>PW050DWG</t>
  </si>
  <si>
    <t>PW050DW9</t>
  </si>
  <si>
    <t>006-0000025-000</t>
  </si>
  <si>
    <t>Row Labels</t>
  </si>
  <si>
    <t>Anantara Maikhao Phuket Villas</t>
  </si>
  <si>
    <t>Anantara Vacation Club Phuket</t>
  </si>
  <si>
    <t>Art of Baking Co.,Ltd</t>
  </si>
  <si>
    <t>AVANI Hua Hin Resort &amp; Villas</t>
  </si>
  <si>
    <t>AVANI Pattaya Resort &amp; Spa</t>
  </si>
  <si>
    <t>Avani Pattaya Resort&amp;Spa(Machine for Royal Garden )</t>
  </si>
  <si>
    <t>Avani+ Riverside Bangkok Hotel</t>
  </si>
  <si>
    <t xml:space="preserve">NMT LIMITED </t>
  </si>
  <si>
    <t>Riverside Plaza</t>
  </si>
  <si>
    <t>SCOMADI (Thailand) Co., Ltd.</t>
  </si>
  <si>
    <t>Grand Total</t>
  </si>
  <si>
    <t>Count of Serial Number</t>
  </si>
  <si>
    <t>006-0000023-000</t>
  </si>
  <si>
    <t>PW048VY2</t>
  </si>
  <si>
    <t>PW050DXR</t>
  </si>
  <si>
    <t>PW050DVF</t>
  </si>
  <si>
    <t>PW050DWT</t>
  </si>
  <si>
    <t>PW050DV3</t>
  </si>
  <si>
    <t>PW050DWK</t>
  </si>
  <si>
    <t>PW050DXT</t>
  </si>
  <si>
    <t>PW050DVS</t>
  </si>
  <si>
    <t>PW050DW5</t>
  </si>
  <si>
    <t>PW050DTL</t>
  </si>
  <si>
    <t>PW050DWM</t>
  </si>
  <si>
    <t>PW050DT9</t>
  </si>
  <si>
    <t>PW050DZ8</t>
  </si>
  <si>
    <t>PW050DTN</t>
  </si>
  <si>
    <t>PW050DYH</t>
  </si>
  <si>
    <t>PW050DXV</t>
  </si>
  <si>
    <t>PW050DYQ</t>
  </si>
  <si>
    <t>PW050DWE</t>
  </si>
  <si>
    <t>PW050DZ2</t>
  </si>
  <si>
    <t>PW050DVG</t>
  </si>
  <si>
    <t>PW050DSV</t>
  </si>
  <si>
    <t>PW050DWF</t>
  </si>
  <si>
    <t>PW050DZD</t>
  </si>
  <si>
    <t>PW050DWC</t>
  </si>
  <si>
    <t>PW050DTM</t>
  </si>
  <si>
    <t>PW050DWL</t>
  </si>
  <si>
    <t>PW050DX9</t>
  </si>
  <si>
    <t>PW050DTT</t>
  </si>
  <si>
    <t>PW050DVW</t>
  </si>
  <si>
    <t>PW050DVY</t>
  </si>
  <si>
    <t>PW050DWQ</t>
  </si>
  <si>
    <t>PW050DT8</t>
  </si>
  <si>
    <t>PW050DV5</t>
  </si>
  <si>
    <t>PW050DYW</t>
  </si>
  <si>
    <t>PW050DVH</t>
  </si>
  <si>
    <t>Item</t>
  </si>
  <si>
    <t>Delivery Location</t>
  </si>
  <si>
    <t>Address</t>
  </si>
  <si>
    <t>Contact Person Name</t>
  </si>
  <si>
    <t>Contact Person Email</t>
  </si>
  <si>
    <t>Tel.</t>
  </si>
  <si>
    <t>88 The Parq Building, 11Fl. Ratchadaphisek Road, Klongtoey Subdistrict, Klongtoey District, Bangkok 10110</t>
  </si>
  <si>
    <t>Asset &amp; Procurement Team</t>
  </si>
  <si>
    <t>No need</t>
  </si>
  <si>
    <t>9th floor, Riverside Plaza, 257 Charoen Nakorn Road, Samrae,Thonburi, Bangkok 10600</t>
  </si>
  <si>
    <t>Anantara Bophut Koh Samui Resort</t>
  </si>
  <si>
    <t>99/9 Moo 1, Bophut Beach, Bophut 84320 Thailand</t>
  </si>
  <si>
    <t>Tawinun Wiriyanano</t>
  </si>
  <si>
    <t>tawinun_wi@minor.com</t>
  </si>
  <si>
    <t xml:space="preserve">
T: +66 (0) 77 428 300 | M: +66 92 262 0737 </t>
  </si>
  <si>
    <t>Avani Chaweng Samui Hotel &amp; Beach Club</t>
  </si>
  <si>
    <t>209 Sala Koy Road Tambon Bo Put, Amphoe, Koh Samui, Surat Thani Province 84320 Thailand</t>
  </si>
  <si>
    <t>Athip Jencharoenpun</t>
  </si>
  <si>
    <t>athip_je@minor.com</t>
  </si>
  <si>
    <t>AVANI+ Samui Resort</t>
  </si>
  <si>
    <t>53/5 Moo 4, Phang Ka, Koh Samui, Surat Thani 84140 Thailand</t>
  </si>
  <si>
    <t>Anan Hayicheteh</t>
  </si>
  <si>
    <t>anan_ha@minor.com</t>
  </si>
  <si>
    <t>T: +66 77 485 299 M: +66 87 291 5676</t>
  </si>
  <si>
    <t>43/1 Phet Kasem Rd, Hua Hin, Hua Hin District, Prachuap Khiri Khan 77110</t>
  </si>
  <si>
    <t>Artit Inphuwa</t>
  </si>
  <si>
    <t>artit_in@minor.com</t>
  </si>
  <si>
    <t xml:space="preserve">T +66 (0) 61 412 0589 </t>
  </si>
  <si>
    <t>168, Moo 6, Layan Beach Soi 4, Cherngtalay Amphur Thalang Phuket 83110 Thailand</t>
  </si>
  <si>
    <t>Krittidat Theppichai</t>
  </si>
  <si>
    <t>chaowalit_th@minor.com</t>
  </si>
  <si>
    <t xml:space="preserve">M + 093 574 2292 l T+ 076 317 289 </t>
  </si>
  <si>
    <t>Anantara Mai Khao Phuket Villas</t>
  </si>
  <si>
    <t>888 Moo 3 , Tumbon Mai Khao, Phuket, Phuket Province 83110</t>
  </si>
  <si>
    <t>Kraisan Kaewthong</t>
  </si>
  <si>
    <t>kraisan_ka@minor.com</t>
  </si>
  <si>
    <t xml:space="preserve">M +66 089 973 5790 | T +66 076 336100 </t>
  </si>
  <si>
    <t>257/1-3 Charoennakorn Road, Thonburi, Bangkok 10600</t>
  </si>
  <si>
    <t>Chalermpong Pitipongpanich</t>
  </si>
  <si>
    <t>chalermpong_pi@minor.com</t>
  </si>
  <si>
    <t>T 088-503-6007, 02-476-0022 Ext. 1575</t>
  </si>
  <si>
    <t>155 Rajadamri Road, Pathumwan 10330 Bangkok, Thailand</t>
  </si>
  <si>
    <t>Piyawat Chamnankij</t>
  </si>
  <si>
    <t>piyawat_ch@minor.com</t>
  </si>
  <si>
    <t>T: 0906364949</t>
  </si>
  <si>
    <t xml:space="preserve">Anantara Vacation Club Mai Khao Phuket    </t>
  </si>
  <si>
    <t>239-239/1 Moo 3, Tumbon Mai Khao, Amphur Thalang, Phuket 83110</t>
  </si>
  <si>
    <t>Nattaphat Petprom</t>
  </si>
  <si>
    <t>nattaphat_pe@minor.com</t>
  </si>
  <si>
    <t>061-537-2361, 095-256-6069</t>
  </si>
  <si>
    <t>Avani Pattaya Resort</t>
  </si>
  <si>
    <t>218/2-3 Moo 10, Beach Road, Pattaya, Thailand, 20260</t>
  </si>
  <si>
    <t>Sukidkawin Somroob</t>
  </si>
  <si>
    <t>sukidkawin_so@minor.com</t>
  </si>
  <si>
    <t>M:  +66 89 9360 030 T: +66 38 412 120</t>
  </si>
  <si>
    <t>Avani+ Khao Lak Resort</t>
  </si>
  <si>
    <t>99 Thanon Phet Kasem Moo 8, Bang-Muang, Takua-Pa, Khao Lak 82190</t>
  </si>
  <si>
    <t>Prasit Kingkohyao</t>
  </si>
  <si>
    <t>prasit_ki@minor.com</t>
  </si>
  <si>
    <t>M + 66 (0) 6 3081 8380</t>
  </si>
  <si>
    <t>11 floor 257 Charoennakorn Road, Thonburi, Bangkok 10600 Thailand</t>
  </si>
  <si>
    <t>9/1 Moo6 Mittraphap,Klangdong,Pakchong, NakhonRatchasima 30320 Thailand</t>
  </si>
  <si>
    <t>Nattakorn Sompol</t>
  </si>
  <si>
    <t>nattakorn_so@minor.com</t>
  </si>
  <si>
    <t>T +66(0) 4400 3562#323  M +66(0) 8 9624 8990</t>
  </si>
  <si>
    <t>NMT Limited</t>
  </si>
  <si>
    <t>60/158 Moo19 Soi17 Navanakorn Industrial Estate Phaholyothin Road., Klongnueng Klongluang, Pathumthani 12120 Thailand</t>
  </si>
  <si>
    <t>Nilawat Punpan</t>
  </si>
  <si>
    <t>nilawat_pu@minor.com</t>
  </si>
  <si>
    <t>T + 66 (0) 2 520 3637-42 ext.605</t>
  </si>
  <si>
    <t>Marin Engineering Co Ltd</t>
  </si>
  <si>
    <t>276/874 Moo 3 Bowin, Sriracha Chonburi 20230 Thailand</t>
  </si>
  <si>
    <t>Parinmet Thamthassanarot</t>
  </si>
  <si>
    <t>parinmet_th@minor.com</t>
  </si>
  <si>
    <t>M: +66 09-5525-2262</t>
  </si>
  <si>
    <t>229 Moo 1, Chiang Saen, Chiang Rai 57150</t>
  </si>
  <si>
    <t>Somsak Sanprueksin</t>
  </si>
  <si>
    <t>somsak_sa@minor.com</t>
  </si>
  <si>
    <t xml:space="preserve">M +66 95 420 6134 | T +66 53 253 333 </t>
  </si>
  <si>
    <t>Minor Lifestyle Store</t>
  </si>
  <si>
    <t>P5-management Co.,Ltd. 84/10 Rama II Alley 69, Samae Dam, Bang Khun Thian, Bangkok 10150</t>
  </si>
  <si>
    <t>Art of Baking</t>
  </si>
  <si>
    <t>111/21 Moo 2 Rama 2 Rd.Thachin, Muang. Samut Sakhon 74000</t>
  </si>
  <si>
    <t>MR.SEKSAN PAYO ( Fluk )</t>
  </si>
  <si>
    <t>Spayo@europastry.com</t>
  </si>
  <si>
    <t>Tel : 034-440157 : Phone : 0829013098</t>
  </si>
  <si>
    <t>Anantara Vacation Club Chiang Mai</t>
  </si>
  <si>
    <t>98/9 Sridonchai Rd., Changklan District, Amphur Muang Chiang Mai, Chiang Mai 50100 Thailand</t>
  </si>
  <si>
    <t>Tichanon Sankham 081-883-6881</t>
  </si>
  <si>
    <t>Avani+ Hua Hin Resort</t>
  </si>
  <si>
    <t>1499 Petchkasem Road, Cha-am, Hua Hin, Phetchaburi 76120</t>
  </si>
  <si>
    <t>Status</t>
  </si>
  <si>
    <t>Confirmed Collection City</t>
  </si>
  <si>
    <t>Option Checking</t>
  </si>
  <si>
    <t>Appointed Collecion Date</t>
  </si>
  <si>
    <t>Remark</t>
  </si>
  <si>
    <t>Collection Handle by</t>
  </si>
  <si>
    <t>ARS Partner</t>
    <phoneticPr fontId="5" type="noConversion"/>
  </si>
  <si>
    <t>CC</t>
  </si>
  <si>
    <t>CC</t>
    <phoneticPr fontId="5" type="noConversion"/>
  </si>
  <si>
    <t>Meaning</t>
  </si>
  <si>
    <t>Meaning(in Thai)</t>
  </si>
  <si>
    <t>Status Owner</t>
  </si>
  <si>
    <t>CC received equest from Lenovo</t>
  </si>
  <si>
    <t>CC received the collection request and start to next process</t>
  </si>
  <si>
    <t>CC  ได้รับ รายการที่ ต้องดำเนินการ (เพื่อบอกทาง Lenovo ว่า list ได้รับการเริ่มงานแล้ว)</t>
  </si>
  <si>
    <t>CC contacted customer</t>
  </si>
  <si>
    <t>CC call/mail to customer for confirmation about collection readiness and collection date</t>
  </si>
  <si>
    <t>CC   ติดต่อกับลูกค้าเพื่อคอนเฟิร์มรายการและจำนวน  รวมถึง สอบถามวันที่ ให้รับสินค้า</t>
  </si>
  <si>
    <t>Customer confirmed</t>
  </si>
  <si>
    <t>Customer confirmed back ( identify the collection date in remark)</t>
  </si>
  <si>
    <t>ลูกค้าคอนเฟิร์มว่าให้เข้ารับสินค้าได้ โดยระบุวันที่ (ให้นำ วันที่มาใส่ในช่อง Collection Date</t>
  </si>
  <si>
    <t>Machine at CC Warehouse</t>
  </si>
  <si>
    <t>Machine keep at CC warehouse</t>
  </si>
  <si>
    <t>เครื่องกลับมาถึง CC WH แล้ว (และอาจอยู่ระหว่างการเช็คอุปกรณ์หรือความเสียหายแตกหักทางกายภาพของเครื่องและอัพเดทในตาราง</t>
  </si>
  <si>
    <t>Machine ready to return (to Lenovo)</t>
  </si>
  <si>
    <t>Machien read to return to Lenovo, inform Lenovo and wait for SK TES to pickup</t>
  </si>
  <si>
    <t>เครื่องทำการเช็คอุปกรณ์ต่อพ่วงเรียบร้อย ให้เปลี่ยนสถานะเป็นเครื่องพร้อมคืน เลอโนโว</t>
  </si>
  <si>
    <t>SK TES pickup from CC WH</t>
  </si>
  <si>
    <t>Machine already picked by SK TES</t>
  </si>
  <si>
    <t>เมื่อ SK TES มารับไป นำรายการมาอัพเดทเป็นสถานะนี้ อาจใส่เพิ่มเติมตรงช่องวันที่ว่ารับกลับไปเมือ่ไหร่</t>
  </si>
  <si>
    <t>Lenovo</t>
  </si>
  <si>
    <t>Others ( Pls Identify)</t>
  </si>
  <si>
    <t>Other status</t>
  </si>
  <si>
    <t>Customer On Hold</t>
  </si>
  <si>
    <t>Customer confirmed but machine not ready yet</t>
  </si>
  <si>
    <t>ลูกค้าคอนเฟิร์มว่าคืน แต่เครื่องยังไม่พร้อมคืน(อาจเพราะรอเครื่องใหม่ หรือรอ user เข้า ออฟฟิศ)</t>
  </si>
  <si>
    <t>Customer reject - want to extend contract</t>
  </si>
  <si>
    <t>Customer reject to return ( informed that they want to extend contract)</t>
  </si>
  <si>
    <t>Customer reject - Cannot find machine</t>
  </si>
  <si>
    <t>Customer reject to return ( Unable to find machine)</t>
  </si>
  <si>
    <t>Check option</t>
  </si>
  <si>
    <t>OK = found all as list</t>
  </si>
  <si>
    <t>Notebook</t>
  </si>
  <si>
    <t>PC/AIO</t>
  </si>
  <si>
    <t>Monitor</t>
  </si>
  <si>
    <t>เครื่อง</t>
  </si>
  <si>
    <t>สายไฟ</t>
  </si>
  <si>
    <t>Adaptor</t>
  </si>
  <si>
    <t>Power code</t>
  </si>
  <si>
    <t xml:space="preserve">mouse </t>
  </si>
  <si>
    <t>Bag</t>
  </si>
  <si>
    <t>keyboard</t>
  </si>
  <si>
    <t>NMT LIMITED</t>
  </si>
  <si>
    <t>Anantara Mai Khai Phuket</t>
  </si>
  <si>
    <t>After 31 May</t>
  </si>
  <si>
    <t>62C6KAR1WW</t>
  </si>
  <si>
    <t>V5GZC134</t>
  </si>
  <si>
    <t>V5GZC137</t>
  </si>
  <si>
    <t>V5GZC132</t>
  </si>
  <si>
    <t>V5GZC135</t>
  </si>
  <si>
    <t>V5GZC141</t>
  </si>
  <si>
    <t>V5GZC140</t>
  </si>
  <si>
    <t>V5GZC145</t>
  </si>
  <si>
    <t>V5GZC153</t>
  </si>
  <si>
    <t>V5GZC119</t>
  </si>
  <si>
    <t>V5GZC118</t>
  </si>
  <si>
    <t>V5GZC117</t>
  </si>
  <si>
    <t>V5GZC116</t>
  </si>
  <si>
    <t>V5GZC123</t>
  </si>
  <si>
    <t>V5GZC122</t>
  </si>
  <si>
    <t>V5GZC127</t>
  </si>
  <si>
    <t>V5GZC129</t>
  </si>
  <si>
    <t>V5GZM249</t>
  </si>
  <si>
    <t>V5GZM241</t>
  </si>
  <si>
    <t>V5GZM252</t>
  </si>
  <si>
    <t>V5GZM251</t>
  </si>
  <si>
    <t>V5GZM253</t>
  </si>
  <si>
    <t>V5GZL792</t>
  </si>
  <si>
    <t>V5GZM254</t>
  </si>
  <si>
    <t>V5GZM271</t>
  </si>
  <si>
    <t>V5GZM273</t>
  </si>
  <si>
    <t>V5GZM272</t>
  </si>
  <si>
    <t>V5GZM237</t>
  </si>
  <si>
    <t>V5GZM266</t>
  </si>
  <si>
    <t>V5GZM274</t>
  </si>
  <si>
    <t>V5GZM275</t>
  </si>
  <si>
    <t>V5GZM291</t>
  </si>
  <si>
    <t>V5GZM290</t>
  </si>
  <si>
    <t>V5GZM288</t>
  </si>
  <si>
    <t>V5GZM289</t>
  </si>
  <si>
    <t>V5GZM225</t>
  </si>
  <si>
    <t>V5GZM287</t>
  </si>
  <si>
    <t>V5GZL906</t>
  </si>
  <si>
    <t>V5GZM260</t>
  </si>
  <si>
    <t>V5GZM250</t>
  </si>
  <si>
    <t>V5GZM258</t>
  </si>
  <si>
    <t>V5GZM256</t>
  </si>
  <si>
    <t>V5GZM257</t>
  </si>
  <si>
    <t>Moniter Claim SN: V90F6TR (new)</t>
  </si>
  <si>
    <t>Moniter Claim SN: VR00BLHZ (new)</t>
  </si>
  <si>
    <t>Moniter Claim SN: V90FCT76 (new)</t>
  </si>
  <si>
    <t>Moniter Claim SN: VR008R65 (new)</t>
  </si>
  <si>
    <t>Moniter Claim SN: V90FNNVN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</si>
</sst>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(* #,##0.00_);_(* \(#,##0.00\);_(* &quot;-&quot;??_);_(@_)"/>
    <numFmt numFmtId="188" formatCode="[$-409]d/mmm/yy;@"/>
    <numFmt numFmtId="189" formatCode="dd\.mm\.yyyy;@"/>
    <numFmt numFmtId="190" formatCode="[$-409]d\-mmm\-yy;@"/>
  </numFmts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ptos"/>
      <family val="2"/>
    </font>
    <font>
      <sz val="8"/>
      <name val="Tahoma"/>
      <family val="2"/>
      <scheme val="minor"/>
    </font>
    <font>
      <b/>
      <sz val="9"/>
      <name val="Tahoma"/>
      <family val="2"/>
      <scheme val="minor"/>
    </font>
    <font>
      <sz val="9"/>
      <name val="Tahoma"/>
      <family val="2"/>
      <scheme val="minor"/>
    </font>
    <font>
      <sz val="9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theme="0"/>
      <name val="Calibri"/>
      <family val="2"/>
    </font>
    <font>
      <u/>
      <sz val="11"/>
      <color theme="1"/>
      <name val="Tahoma"/>
      <family val="2"/>
      <scheme val="minor"/>
    </font>
    <font>
      <sz val="10"/>
      <color theme="1"/>
      <name val="Aptos Display"/>
      <family val="2"/>
    </font>
    <font>
      <b/>
      <sz val="11"/>
      <color theme="1"/>
      <name val="Tahoma"/>
      <family val="2"/>
      <scheme val="minor"/>
    </font>
    <font>
      <sz val="9"/>
      <name val="Tahoma"/>
      <family val="3"/>
      <charset val="134"/>
      <scheme val="minor"/>
    </font>
    <font>
      <b/>
      <sz val="8"/>
      <name val="Tahoma"/>
      <family val="2"/>
      <scheme val="minor"/>
    </font>
    <font>
      <sz val="8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57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88" fontId="6" fillId="2" borderId="2" xfId="0" applyNumberFormat="1" applyFont="1" applyFill="1" applyBorder="1" applyAlignment="1">
      <alignment horizontal="center" vertical="center"/>
    </xf>
    <xf numFmtId="187" fontId="6" fillId="2" borderId="2" xfId="1" applyFont="1" applyFill="1" applyBorder="1" applyAlignment="1">
      <alignment horizontal="center" vertic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188" fontId="8" fillId="0" borderId="4" xfId="0" applyNumberFormat="1" applyFont="1" applyBorder="1" applyAlignment="1">
      <alignment horizontal="center"/>
    </xf>
    <xf numFmtId="187" fontId="8" fillId="0" borderId="4" xfId="1" applyFont="1" applyBorder="1" applyAlignment="1">
      <alignment horizontal="center"/>
    </xf>
    <xf numFmtId="0" fontId="8" fillId="0" borderId="0" xfId="0" applyFont="1"/>
    <xf numFmtId="188" fontId="8" fillId="0" borderId="0" xfId="0" applyNumberFormat="1" applyFont="1"/>
    <xf numFmtId="0" fontId="6" fillId="2" borderId="8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9" xfId="0" applyFont="1" applyBorder="1"/>
    <xf numFmtId="0" fontId="8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188" fontId="8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187" fontId="8" fillId="0" borderId="6" xfId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11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4" xfId="2" applyBorder="1"/>
    <xf numFmtId="0" fontId="0" fillId="0" borderId="4" xfId="0" applyBorder="1" applyAlignment="1">
      <alignment wrapText="1"/>
    </xf>
    <xf numFmtId="0" fontId="10" fillId="0" borderId="4" xfId="2" applyBorder="1" applyAlignment="1">
      <alignment wrapText="1"/>
    </xf>
    <xf numFmtId="0" fontId="12" fillId="0" borderId="4" xfId="2" applyFont="1" applyFill="1" applyBorder="1"/>
    <xf numFmtId="0" fontId="13" fillId="0" borderId="4" xfId="0" applyFont="1" applyBorder="1" applyAlignment="1">
      <alignment horizontal="left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1" xfId="0" applyBorder="1"/>
    <xf numFmtId="0" fontId="16" fillId="4" borderId="2" xfId="0" applyFont="1" applyFill="1" applyBorder="1" applyAlignment="1">
      <alignment horizontal="center" vertical="center"/>
    </xf>
    <xf numFmtId="189" fontId="16" fillId="4" borderId="2" xfId="0" applyNumberFormat="1" applyFont="1" applyFill="1" applyBorder="1" applyAlignment="1">
      <alignment horizontal="center" vertical="center"/>
    </xf>
    <xf numFmtId="0" fontId="0" fillId="4" borderId="9" xfId="0" applyFill="1" applyBorder="1"/>
    <xf numFmtId="0" fontId="0" fillId="4" borderId="13" xfId="0" applyFill="1" applyBorder="1"/>
    <xf numFmtId="0" fontId="0" fillId="4" borderId="3" xfId="0" applyFill="1" applyBorder="1"/>
    <xf numFmtId="0" fontId="14" fillId="4" borderId="0" xfId="0" applyFont="1" applyFill="1"/>
    <xf numFmtId="0" fontId="17" fillId="0" borderId="4" xfId="0" applyFont="1" applyBorder="1" applyAlignment="1">
      <alignment horizontal="center"/>
    </xf>
    <xf numFmtId="190" fontId="16" fillId="4" borderId="2" xfId="0" applyNumberFormat="1" applyFont="1" applyFill="1" applyBorder="1" applyAlignment="1">
      <alignment horizontal="center" vertical="center"/>
    </xf>
    <xf numFmtId="190" fontId="8" fillId="0" borderId="4" xfId="0" applyNumberFormat="1" applyFont="1" applyBorder="1" applyAlignment="1">
      <alignment horizontal="center"/>
    </xf>
    <xf numFmtId="190" fontId="8" fillId="0" borderId="0" xfId="0" applyNumberFormat="1" applyFont="1"/>
    <xf numFmtId="190" fontId="8" fillId="0" borderId="6" xfId="0" applyNumberFormat="1" applyFont="1" applyBorder="1" applyAlignment="1">
      <alignment horizontal="center"/>
    </xf>
    <xf numFmtId="0" fontId="8" fillId="0" borderId="14" xfId="0" applyFont="1" applyBorder="1"/>
    <xf numFmtId="188" fontId="8" fillId="0" borderId="14" xfId="0" applyNumberFormat="1" applyFont="1" applyBorder="1"/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90" fontId="8" fillId="0" borderId="14" xfId="0" applyNumberFormat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88" formatCode="[$-409]d/mmm/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88" formatCode="[$-409]d/mmm/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orgroup.sharepoint.com/sites/mgs/it/WPT/Shared%20Documents/IT%20Asset%20&amp;%20Procurement/2025/13.%20Replacement/2026/Replacement%202026.xlsx" TargetMode="External"/><Relationship Id="rId1" Type="http://schemas.openxmlformats.org/officeDocument/2006/relationships/externalLinkPath" Target="https://minorgroup.sharepoint.com/sites/mgs/it/WPT/Shared%20Documents/IT%20Asset%20&amp;%20Procurement/2025/13.%20Replacement/2026/Replacemen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Book\OneDrive\Documents\1.%20&#3591;&#3634;&#3609;&#3619;&#3633;&#3610;&#3585;&#3621;&#3633;&#3610;&#3591;&#3634;&#3609;%20Minor_(update%2014-05-69).xlsx" TargetMode="External"/><Relationship Id="rId1" Type="http://schemas.openxmlformats.org/officeDocument/2006/relationships/externalLinkPath" Target="file:///C:\Users\ProBook\OneDrive\Documents\1.%20&#3591;&#3634;&#3609;&#3619;&#3633;&#3610;&#3585;&#3621;&#3633;&#3610;&#3591;&#3634;&#3609;%20Minor_(update%2014-05-6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 25"/>
      <sheetName val="Dec25"/>
      <sheetName val="Jan"/>
      <sheetName val="Feb"/>
      <sheetName val="Mar"/>
      <sheetName val="Apr"/>
      <sheetName val="May"/>
      <sheetName val="Mail"/>
      <sheetName val="GSSC"/>
      <sheetName val="A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F1" t="str">
            <v>Ship to</v>
          </cell>
          <cell r="O1" t="str">
            <v>Serial No.</v>
          </cell>
        </row>
        <row r="2">
          <cell r="F2" t="str">
            <v>The ParQ</v>
          </cell>
          <cell r="O2" t="str">
            <v>GM038872</v>
          </cell>
        </row>
        <row r="3">
          <cell r="F3" t="str">
            <v>The ParQ</v>
          </cell>
          <cell r="O3" t="str">
            <v>GM0388AP</v>
          </cell>
        </row>
        <row r="4">
          <cell r="F4" t="str">
            <v>The ParQ</v>
          </cell>
          <cell r="O4" t="str">
            <v>PW050E00</v>
          </cell>
        </row>
        <row r="5">
          <cell r="F5" t="str">
            <v>The ParQ</v>
          </cell>
          <cell r="O5" t="str">
            <v>GM0388BC</v>
          </cell>
        </row>
        <row r="6">
          <cell r="F6" t="str">
            <v>The ParQ</v>
          </cell>
          <cell r="O6" t="str">
            <v>PW050DVJ</v>
          </cell>
        </row>
        <row r="7">
          <cell r="F7" t="str">
            <v>The ParQ</v>
          </cell>
          <cell r="O7" t="str">
            <v>PF48ETKX</v>
          </cell>
        </row>
        <row r="8">
          <cell r="F8" t="str">
            <v>The ParQ</v>
          </cell>
          <cell r="O8" t="str">
            <v>PW050DXZ</v>
          </cell>
        </row>
        <row r="9">
          <cell r="F9" t="str">
            <v>The ParQ</v>
          </cell>
          <cell r="O9" t="str">
            <v>PW050DZF</v>
          </cell>
        </row>
        <row r="10">
          <cell r="F10" t="str">
            <v>The ParQ</v>
          </cell>
          <cell r="O10" t="str">
            <v>PW050DY7</v>
          </cell>
        </row>
        <row r="11">
          <cell r="F11" t="str">
            <v>The ParQ</v>
          </cell>
          <cell r="O11" t="str">
            <v>PW050DWY</v>
          </cell>
        </row>
        <row r="12">
          <cell r="F12" t="str">
            <v>The ParQ</v>
          </cell>
          <cell r="O12" t="str">
            <v>PW050DVV</v>
          </cell>
        </row>
        <row r="13">
          <cell r="F13" t="str">
            <v>Riverside Plaza</v>
          </cell>
          <cell r="O13" t="str">
            <v>PW050DYZ</v>
          </cell>
        </row>
        <row r="14">
          <cell r="F14" t="str">
            <v>The ParQ</v>
          </cell>
          <cell r="O14" t="str">
            <v>PW050E03</v>
          </cell>
        </row>
        <row r="15">
          <cell r="F15" t="str">
            <v>Riverside Plaza</v>
          </cell>
          <cell r="O15" t="str">
            <v>PW050DZ6</v>
          </cell>
        </row>
        <row r="16">
          <cell r="F16" t="str">
            <v>The ParQ</v>
          </cell>
          <cell r="O16" t="str">
            <v>PW050DXC</v>
          </cell>
        </row>
        <row r="17">
          <cell r="F17" t="str">
            <v>Riverside Plaza</v>
          </cell>
          <cell r="O17" t="str">
            <v>PW050DZ4</v>
          </cell>
        </row>
        <row r="18">
          <cell r="F18" t="str">
            <v>The ParQ</v>
          </cell>
          <cell r="O18" t="str">
            <v>PW050DYV</v>
          </cell>
        </row>
        <row r="19">
          <cell r="F19" t="str">
            <v>AVANI Pattaya Resort &amp; Spa</v>
          </cell>
          <cell r="O19" t="str">
            <v>PW050E08</v>
          </cell>
        </row>
        <row r="20">
          <cell r="F20" t="str">
            <v>The ParQ</v>
          </cell>
          <cell r="O20" t="str">
            <v>PW050DWZ</v>
          </cell>
        </row>
        <row r="21">
          <cell r="F21" t="str">
            <v>The ParQ</v>
          </cell>
          <cell r="O21" t="str">
            <v>GM03887P</v>
          </cell>
        </row>
        <row r="22">
          <cell r="F22" t="str">
            <v>Riverside Plaza</v>
          </cell>
          <cell r="O22" t="str">
            <v>PW050DZK</v>
          </cell>
        </row>
        <row r="23">
          <cell r="F23" t="str">
            <v>The ParQ</v>
          </cell>
          <cell r="O23" t="str">
            <v>PW050DV4</v>
          </cell>
        </row>
        <row r="24">
          <cell r="F24" t="str">
            <v>The ParQ</v>
          </cell>
          <cell r="O24" t="str">
            <v>PW050DSW</v>
          </cell>
        </row>
        <row r="25">
          <cell r="F25" t="str">
            <v>The ParQ</v>
          </cell>
          <cell r="O25" t="str">
            <v>PF48ETN5</v>
          </cell>
        </row>
        <row r="26">
          <cell r="F26" t="str">
            <v>The ParQ</v>
          </cell>
          <cell r="O26" t="str">
            <v>PW050DXX</v>
          </cell>
        </row>
        <row r="27">
          <cell r="F27" t="str">
            <v>The ParQ</v>
          </cell>
          <cell r="O27" t="str">
            <v>PW050DYS</v>
          </cell>
        </row>
        <row r="28">
          <cell r="F28" t="str">
            <v>The ParQ</v>
          </cell>
          <cell r="O28" t="str">
            <v>PW050DXJ</v>
          </cell>
        </row>
        <row r="29">
          <cell r="F29" t="str">
            <v>The ParQ</v>
          </cell>
          <cell r="O29" t="str">
            <v>PW050DWB</v>
          </cell>
        </row>
        <row r="30">
          <cell r="F30" t="str">
            <v>The ParQ</v>
          </cell>
          <cell r="O30" t="str">
            <v>PF48ETMA</v>
          </cell>
        </row>
        <row r="31">
          <cell r="F31" t="str">
            <v>The ParQ</v>
          </cell>
          <cell r="O31" t="str">
            <v>GM0388B1</v>
          </cell>
        </row>
        <row r="32">
          <cell r="F32" t="str">
            <v>The ParQ</v>
          </cell>
          <cell r="O32" t="str">
            <v>GM03889Y</v>
          </cell>
        </row>
        <row r="33">
          <cell r="F33" t="str">
            <v>The ParQ</v>
          </cell>
          <cell r="O33" t="str">
            <v>GM03887T</v>
          </cell>
        </row>
        <row r="34">
          <cell r="F34" t="str">
            <v>The ParQ</v>
          </cell>
          <cell r="O34" t="str">
            <v>PF489283</v>
          </cell>
        </row>
        <row r="35">
          <cell r="F35" t="str">
            <v>The ParQ</v>
          </cell>
          <cell r="O35" t="str">
            <v>PW050DW8</v>
          </cell>
        </row>
        <row r="36">
          <cell r="F36" t="str">
            <v>The ParQ</v>
          </cell>
          <cell r="O36" t="str">
            <v>PF48ETNX</v>
          </cell>
        </row>
        <row r="37">
          <cell r="F37" t="str">
            <v>The ParQ</v>
          </cell>
          <cell r="O37" t="str">
            <v>PW050DZT</v>
          </cell>
        </row>
        <row r="38">
          <cell r="F38" t="str">
            <v>The ParQ</v>
          </cell>
          <cell r="O38" t="str">
            <v>PF487E32</v>
          </cell>
        </row>
        <row r="39">
          <cell r="F39" t="str">
            <v>The ParQ</v>
          </cell>
          <cell r="O39" t="str">
            <v>PW050DZV</v>
          </cell>
        </row>
        <row r="40">
          <cell r="F40" t="str">
            <v>The ParQ</v>
          </cell>
          <cell r="O40" t="str">
            <v>PW050DYK</v>
          </cell>
        </row>
        <row r="41">
          <cell r="F41" t="str">
            <v>The ParQ</v>
          </cell>
          <cell r="O41" t="str">
            <v>GM03886W</v>
          </cell>
        </row>
        <row r="42">
          <cell r="F42" t="str">
            <v>Minor Dairy Limited</v>
          </cell>
          <cell r="O42" t="str">
            <v>PF487JLA</v>
          </cell>
        </row>
        <row r="43">
          <cell r="F43" t="str">
            <v>The ParQ</v>
          </cell>
          <cell r="O43" t="str">
            <v>PW050DSZ</v>
          </cell>
        </row>
        <row r="44">
          <cell r="F44" t="str">
            <v>The ParQ</v>
          </cell>
          <cell r="O44" t="str">
            <v>PF487E3M</v>
          </cell>
        </row>
        <row r="45">
          <cell r="F45" t="str">
            <v>The ParQ</v>
          </cell>
          <cell r="O45" t="str">
            <v>PW050DTZ</v>
          </cell>
        </row>
        <row r="46">
          <cell r="F46" t="str">
            <v>Riverside Plaza</v>
          </cell>
          <cell r="O46" t="str">
            <v>PW050DW6</v>
          </cell>
        </row>
        <row r="47">
          <cell r="F47" t="str">
            <v>The ParQ</v>
          </cell>
          <cell r="O47" t="str">
            <v>PW050DT3</v>
          </cell>
        </row>
        <row r="48">
          <cell r="F48" t="str">
            <v>The ParQ</v>
          </cell>
          <cell r="O48" t="str">
            <v>PW050DT0</v>
          </cell>
        </row>
        <row r="49">
          <cell r="F49" t="str">
            <v>The ParQ</v>
          </cell>
          <cell r="O49" t="str">
            <v>PW050DYC</v>
          </cell>
        </row>
        <row r="50">
          <cell r="F50" t="str">
            <v>The ParQ</v>
          </cell>
          <cell r="O50" t="str">
            <v>PW050DZX</v>
          </cell>
        </row>
        <row r="51">
          <cell r="F51" t="str">
            <v>Riverside Plaza</v>
          </cell>
          <cell r="O51" t="str">
            <v>PW050DZN</v>
          </cell>
        </row>
        <row r="52">
          <cell r="F52" t="str">
            <v>Riverside Plaza</v>
          </cell>
          <cell r="O52" t="str">
            <v>PW050DY1</v>
          </cell>
        </row>
        <row r="53">
          <cell r="F53" t="str">
            <v>The ParQ</v>
          </cell>
          <cell r="O53" t="str">
            <v>PW050DVR</v>
          </cell>
        </row>
        <row r="54">
          <cell r="F54" t="str">
            <v>The ParQ</v>
          </cell>
          <cell r="O54" t="str">
            <v>PF487E14</v>
          </cell>
        </row>
        <row r="55">
          <cell r="F55" t="str">
            <v>Anantara Vacation Club Phuket</v>
          </cell>
          <cell r="O55" t="str">
            <v>GM0389K1</v>
          </cell>
        </row>
        <row r="56">
          <cell r="F56" t="str">
            <v>Anantara Siam Bangkok Hotel</v>
          </cell>
          <cell r="O56" t="str">
            <v>GM03CD51</v>
          </cell>
        </row>
        <row r="57">
          <cell r="F57" t="str">
            <v>Anantara Siam Bangkok Hotel</v>
          </cell>
          <cell r="O57" t="str">
            <v>GM0389KD</v>
          </cell>
        </row>
        <row r="58">
          <cell r="F58" t="str">
            <v>Anantara Siam Bangkok Hotel</v>
          </cell>
          <cell r="O58" t="str">
            <v>GM03CD5F</v>
          </cell>
        </row>
        <row r="59">
          <cell r="F59" t="str">
            <v>Anantara Siam Bangkok Hotel</v>
          </cell>
          <cell r="O59" t="str">
            <v>GM03CD62</v>
          </cell>
        </row>
        <row r="60">
          <cell r="F60" t="str">
            <v>Anantara Siam Bangkok Hotel</v>
          </cell>
          <cell r="O60" t="str">
            <v>GM03CD5P</v>
          </cell>
        </row>
        <row r="61">
          <cell r="F61" t="str">
            <v>Anantara Siam Bangkok Hotel</v>
          </cell>
          <cell r="O61" t="str">
            <v>GM0389KL</v>
          </cell>
        </row>
        <row r="62">
          <cell r="F62" t="str">
            <v>Anantara Siam Bangkok Hotel</v>
          </cell>
          <cell r="O62" t="str">
            <v>PW050DYT</v>
          </cell>
        </row>
        <row r="63">
          <cell r="F63" t="str">
            <v>Anantara Siam Bangkok Hotel</v>
          </cell>
          <cell r="O63" t="str">
            <v>PW050DY5</v>
          </cell>
        </row>
        <row r="64">
          <cell r="F64" t="str">
            <v>Anantara Siam Bangkok Hotel</v>
          </cell>
          <cell r="O64" t="str">
            <v>PW050DY8</v>
          </cell>
        </row>
        <row r="65">
          <cell r="F65" t="str">
            <v>Anantara Siam Bangkok Hotel</v>
          </cell>
          <cell r="O65" t="str">
            <v>PW050DWS</v>
          </cell>
        </row>
        <row r="66">
          <cell r="F66" t="str">
            <v>The ParQ</v>
          </cell>
          <cell r="O66" t="str">
            <v>PW050DXA</v>
          </cell>
        </row>
        <row r="67">
          <cell r="F67" t="str">
            <v>The ParQ</v>
          </cell>
          <cell r="O67" t="str">
            <v>PW050DYG</v>
          </cell>
        </row>
        <row r="68">
          <cell r="F68" t="str">
            <v>The ParQ</v>
          </cell>
          <cell r="O68" t="str">
            <v>PW050DXF</v>
          </cell>
        </row>
        <row r="69">
          <cell r="F69" t="str">
            <v>The ParQ</v>
          </cell>
          <cell r="O69" t="str">
            <v>PW050DYP</v>
          </cell>
        </row>
        <row r="70">
          <cell r="F70" t="str">
            <v>The ParQ</v>
          </cell>
          <cell r="O70" t="str">
            <v>GM03888L</v>
          </cell>
        </row>
        <row r="71">
          <cell r="F71" t="str">
            <v xml:space="preserve">NMT LIMITED </v>
          </cell>
          <cell r="O71" t="str">
            <v>PF487BR7</v>
          </cell>
        </row>
        <row r="72">
          <cell r="F72" t="str">
            <v>The ParQ</v>
          </cell>
          <cell r="O72" t="str">
            <v>PW050DZG</v>
          </cell>
        </row>
        <row r="73">
          <cell r="F73" t="str">
            <v>The ParQ</v>
          </cell>
          <cell r="O73" t="str">
            <v>PW050DY2</v>
          </cell>
        </row>
        <row r="74">
          <cell r="F74" t="str">
            <v>The ParQ</v>
          </cell>
          <cell r="O74" t="str">
            <v>GM03888P</v>
          </cell>
        </row>
        <row r="75">
          <cell r="F75" t="str">
            <v>The ParQ</v>
          </cell>
          <cell r="O75" t="str">
            <v>PW050DTE</v>
          </cell>
        </row>
        <row r="76">
          <cell r="F76" t="str">
            <v>The ParQ</v>
          </cell>
          <cell r="O76" t="str">
            <v>PF48ETML</v>
          </cell>
        </row>
        <row r="77">
          <cell r="F77" t="str">
            <v>Anantara Layan Phuket Resort</v>
          </cell>
          <cell r="O77" t="str">
            <v>PW050DVX</v>
          </cell>
        </row>
        <row r="78">
          <cell r="F78" t="str">
            <v>Anantara Riverside Bangkok Resort</v>
          </cell>
          <cell r="O78" t="str">
            <v>PF487JKM</v>
          </cell>
        </row>
        <row r="79">
          <cell r="F79" t="str">
            <v>Avani Pattaya Resort&amp;Spa(Machine for Royal Garden )</v>
          </cell>
          <cell r="O79" t="str">
            <v>PW050DTB</v>
          </cell>
        </row>
        <row r="80">
          <cell r="F80" t="str">
            <v>The ParQ</v>
          </cell>
          <cell r="O80" t="str">
            <v>PW050DZA</v>
          </cell>
        </row>
        <row r="81">
          <cell r="F81" t="str">
            <v>Anantara Riverside Bangkok Resort</v>
          </cell>
          <cell r="O81" t="str">
            <v>PW050DVA</v>
          </cell>
        </row>
        <row r="82">
          <cell r="F82" t="str">
            <v>Avani Pattaya Resort&amp;Spa(Machine for Royal Garden )</v>
          </cell>
          <cell r="O82" t="str">
            <v>GM0389KC</v>
          </cell>
        </row>
        <row r="83">
          <cell r="F83" t="str">
            <v>Avani Pattaya Resort&amp;Spa(Machine for Royal Garden )</v>
          </cell>
          <cell r="O83" t="str">
            <v>GM0389KM</v>
          </cell>
        </row>
        <row r="84">
          <cell r="F84" t="str">
            <v>SCOMADI (Thailand) Co., Ltd.</v>
          </cell>
          <cell r="O84" t="str">
            <v>PW050DVE</v>
          </cell>
        </row>
        <row r="85">
          <cell r="F85" t="str">
            <v>Avani Pattaya Resort&amp;Spa(Machine for Royal Garden )</v>
          </cell>
          <cell r="O85" t="str">
            <v>PW050DXB</v>
          </cell>
        </row>
        <row r="86">
          <cell r="F86" t="str">
            <v>SCOMADI (Thailand) Co., Ltd.</v>
          </cell>
          <cell r="O86" t="str">
            <v>PW050DTH</v>
          </cell>
        </row>
        <row r="87">
          <cell r="F87" t="str">
            <v>SCOMADI (Thailand) Co., Ltd.</v>
          </cell>
          <cell r="O87" t="str">
            <v>PW050DWA</v>
          </cell>
        </row>
        <row r="88">
          <cell r="F88" t="str">
            <v>AVANI Pattaya Resort &amp; Spa</v>
          </cell>
          <cell r="O88" t="str">
            <v>PW050DYF</v>
          </cell>
        </row>
        <row r="89">
          <cell r="F89" t="str">
            <v>AVANI Pattaya Resort &amp; Spa</v>
          </cell>
          <cell r="O89" t="str">
            <v>PW050DYY</v>
          </cell>
        </row>
        <row r="90">
          <cell r="F90" t="str">
            <v>Anantara Vacation Club Phuket</v>
          </cell>
          <cell r="O90" t="str">
            <v>GM03CD4S</v>
          </cell>
        </row>
        <row r="91">
          <cell r="F91" t="str">
            <v>Anantara Vacation Club Phuket</v>
          </cell>
          <cell r="O91" t="str">
            <v>GM03CD5S</v>
          </cell>
        </row>
        <row r="92">
          <cell r="F92" t="str">
            <v>Anantara Vacation Club Phuket</v>
          </cell>
          <cell r="O92" t="str">
            <v>GM03CD5X</v>
          </cell>
        </row>
        <row r="93">
          <cell r="F93" t="str">
            <v>Anantara Vacation Club Phuket</v>
          </cell>
          <cell r="O93" t="str">
            <v>GM03CD60</v>
          </cell>
        </row>
        <row r="94">
          <cell r="F94" t="str">
            <v>Anantara Vacation Club Phuket</v>
          </cell>
          <cell r="O94" t="str">
            <v>GM0389KF</v>
          </cell>
        </row>
        <row r="95">
          <cell r="F95" t="str">
            <v>Anantara Vacation Club Phuket</v>
          </cell>
          <cell r="O95" t="str">
            <v>GM0389L7</v>
          </cell>
        </row>
        <row r="96">
          <cell r="F96" t="str">
            <v>Anantara Vacation Club Phuket</v>
          </cell>
          <cell r="O96" t="str">
            <v>GM03CD5Q</v>
          </cell>
        </row>
        <row r="97">
          <cell r="F97" t="str">
            <v>Anantara Vacation Club Phuket</v>
          </cell>
          <cell r="O97" t="str">
            <v>GM0389KB</v>
          </cell>
        </row>
        <row r="98">
          <cell r="F98" t="str">
            <v>Anantara Vacation Club Phuket</v>
          </cell>
          <cell r="O98" t="str">
            <v>GM03CD61</v>
          </cell>
        </row>
        <row r="99">
          <cell r="F99" t="str">
            <v>Anantara Vacation Club Phuket</v>
          </cell>
          <cell r="O99" t="str">
            <v>GM03CD66</v>
          </cell>
        </row>
        <row r="100">
          <cell r="F100" t="str">
            <v>Anantara Vacation Club Phuket</v>
          </cell>
          <cell r="O100" t="str">
            <v>GM03CD5R</v>
          </cell>
        </row>
        <row r="101">
          <cell r="F101" t="str">
            <v>Anantara Vacation Club Phuket</v>
          </cell>
          <cell r="O101" t="str">
            <v>GM03887B</v>
          </cell>
        </row>
        <row r="102">
          <cell r="F102" t="str">
            <v>Anantara Vacation Club Phuket</v>
          </cell>
          <cell r="O102" t="str">
            <v>GM03CD63</v>
          </cell>
        </row>
        <row r="103">
          <cell r="F103" t="str">
            <v>Anantara Vacation Club Phuket</v>
          </cell>
          <cell r="O103" t="str">
            <v>GM03CD68</v>
          </cell>
        </row>
        <row r="104">
          <cell r="F104" t="str">
            <v>Anantara Riverside Bangkok Resort</v>
          </cell>
          <cell r="O104" t="str">
            <v>PF487E0C</v>
          </cell>
        </row>
        <row r="105">
          <cell r="F105" t="str">
            <v>Anantara Layan Phuket Resort</v>
          </cell>
          <cell r="O105" t="str">
            <v>GM038886</v>
          </cell>
        </row>
        <row r="106">
          <cell r="F106" t="str">
            <v>Anantara Layan Phuket Resort</v>
          </cell>
          <cell r="O106" t="str">
            <v>GM0388BG</v>
          </cell>
        </row>
        <row r="107">
          <cell r="F107" t="str">
            <v>Anantara Maikhao Phuket Villas</v>
          </cell>
          <cell r="O107" t="str">
            <v>GM03889A</v>
          </cell>
        </row>
        <row r="108">
          <cell r="F108" t="str">
            <v>Avani+ Riverside Bangkok Hotel</v>
          </cell>
          <cell r="O108" t="str">
            <v>PC2E4ZTW</v>
          </cell>
        </row>
        <row r="109">
          <cell r="F109" t="str">
            <v>Avani+ Riverside Bangkok Hotel</v>
          </cell>
          <cell r="O109" t="str">
            <v>PW050DWW</v>
          </cell>
        </row>
        <row r="110">
          <cell r="F110" t="str">
            <v>Anantara Layan Phuket Resort</v>
          </cell>
          <cell r="O110" t="str">
            <v>PW050DWD</v>
          </cell>
        </row>
        <row r="111">
          <cell r="F111" t="str">
            <v>Anantara Layan Phuket Resort</v>
          </cell>
          <cell r="O111" t="str">
            <v>GM0388A9</v>
          </cell>
        </row>
        <row r="112">
          <cell r="F112" t="str">
            <v>Anantara Layan Phuket Resort</v>
          </cell>
          <cell r="O112" t="str">
            <v>PF48ETMZ</v>
          </cell>
        </row>
        <row r="113">
          <cell r="F113" t="str">
            <v>The ParQ</v>
          </cell>
          <cell r="O113" t="str">
            <v>PW050DYN</v>
          </cell>
        </row>
        <row r="114">
          <cell r="F114" t="str">
            <v>Riverside Plaza</v>
          </cell>
          <cell r="O114" t="str">
            <v>PW050DZC</v>
          </cell>
        </row>
        <row r="115">
          <cell r="F115" t="str">
            <v>The ParQ</v>
          </cell>
          <cell r="O115" t="str">
            <v>PF48EWXJ</v>
          </cell>
        </row>
        <row r="116">
          <cell r="F116" t="str">
            <v>The ParQ</v>
          </cell>
          <cell r="O116" t="str">
            <v>PW050DYJ</v>
          </cell>
        </row>
        <row r="117">
          <cell r="F117" t="str">
            <v>The ParQ</v>
          </cell>
          <cell r="O117" t="str">
            <v>PW050DV7</v>
          </cell>
        </row>
        <row r="118">
          <cell r="F118" t="str">
            <v>The ParQ</v>
          </cell>
          <cell r="O118" t="str">
            <v>GM0388AH</v>
          </cell>
        </row>
        <row r="119">
          <cell r="F119" t="str">
            <v>The ParQ</v>
          </cell>
          <cell r="O119" t="str">
            <v>PW050E09</v>
          </cell>
        </row>
        <row r="120">
          <cell r="F120" t="str">
            <v>The ParQ</v>
          </cell>
          <cell r="O120" t="str">
            <v>PW050DVL</v>
          </cell>
        </row>
        <row r="121">
          <cell r="F121" t="str">
            <v>The ParQ</v>
          </cell>
          <cell r="O121" t="str">
            <v>PW050DTY</v>
          </cell>
        </row>
        <row r="122">
          <cell r="F122" t="str">
            <v>The ParQ</v>
          </cell>
          <cell r="O122" t="str">
            <v>PW050DZE</v>
          </cell>
        </row>
        <row r="123">
          <cell r="F123" t="str">
            <v>The ParQ</v>
          </cell>
          <cell r="O123" t="str">
            <v>PW050DY6</v>
          </cell>
        </row>
        <row r="124">
          <cell r="F124" t="str">
            <v>The ParQ</v>
          </cell>
          <cell r="O124" t="str">
            <v>PW050DTD</v>
          </cell>
        </row>
        <row r="125">
          <cell r="F125" t="str">
            <v>The ParQ</v>
          </cell>
          <cell r="O125" t="str">
            <v>GM0388BJ</v>
          </cell>
        </row>
        <row r="126">
          <cell r="F126" t="str">
            <v>The ParQ</v>
          </cell>
          <cell r="O126" t="str">
            <v>GM0388CL</v>
          </cell>
        </row>
        <row r="127">
          <cell r="F127" t="str">
            <v>The ParQ</v>
          </cell>
          <cell r="O127" t="str">
            <v>PW050DXM</v>
          </cell>
        </row>
        <row r="128">
          <cell r="F128" t="str">
            <v>The ParQ</v>
          </cell>
          <cell r="O128" t="str">
            <v>PW050DTX</v>
          </cell>
        </row>
        <row r="129">
          <cell r="F129" t="str">
            <v>The ParQ</v>
          </cell>
          <cell r="O129" t="str">
            <v>PW050DY3</v>
          </cell>
        </row>
        <row r="130">
          <cell r="F130" t="str">
            <v>The ParQ</v>
          </cell>
          <cell r="O130" t="str">
            <v>PW050DZ9</v>
          </cell>
        </row>
        <row r="131">
          <cell r="F131" t="str">
            <v>The ParQ</v>
          </cell>
          <cell r="O131" t="str">
            <v>PW050DZQ</v>
          </cell>
        </row>
        <row r="132">
          <cell r="F132" t="str">
            <v>The ParQ</v>
          </cell>
          <cell r="O132" t="str">
            <v>PW050DVD</v>
          </cell>
        </row>
        <row r="133">
          <cell r="F133" t="str">
            <v>The ParQ</v>
          </cell>
          <cell r="O133" t="str">
            <v>PW050DV8</v>
          </cell>
        </row>
        <row r="134">
          <cell r="F134" t="str">
            <v>The ParQ</v>
          </cell>
          <cell r="O134" t="str">
            <v>PW050DY0</v>
          </cell>
        </row>
        <row r="135">
          <cell r="F135" t="str">
            <v>The ParQ</v>
          </cell>
          <cell r="O135" t="str">
            <v>PW050DV9</v>
          </cell>
        </row>
        <row r="136">
          <cell r="F136" t="str">
            <v>The ParQ</v>
          </cell>
          <cell r="O136" t="str">
            <v>PW050DYR</v>
          </cell>
        </row>
        <row r="137">
          <cell r="F137" t="str">
            <v>The ParQ</v>
          </cell>
          <cell r="O137" t="str">
            <v>PF48ETLC</v>
          </cell>
        </row>
        <row r="138">
          <cell r="F138" t="str">
            <v>The ParQ</v>
          </cell>
          <cell r="O138" t="str">
            <v>PW050DSX</v>
          </cell>
        </row>
        <row r="139">
          <cell r="F139" t="str">
            <v>The ParQ</v>
          </cell>
          <cell r="O139" t="str">
            <v>GM03887D</v>
          </cell>
        </row>
        <row r="140">
          <cell r="F140" t="str">
            <v>The ParQ</v>
          </cell>
          <cell r="O140" t="str">
            <v>PW050DZ0</v>
          </cell>
        </row>
        <row r="141">
          <cell r="F141" t="str">
            <v>The ParQ</v>
          </cell>
          <cell r="O141" t="str">
            <v>PW050DXQ</v>
          </cell>
        </row>
        <row r="142">
          <cell r="F142" t="str">
            <v>The ParQ</v>
          </cell>
          <cell r="O142" t="str">
            <v>PW050E07</v>
          </cell>
        </row>
        <row r="143">
          <cell r="F143" t="str">
            <v>The ParQ</v>
          </cell>
          <cell r="O143" t="str">
            <v>PW050DZZ</v>
          </cell>
        </row>
        <row r="144">
          <cell r="F144" t="str">
            <v>The ParQ</v>
          </cell>
          <cell r="O144" t="str">
            <v>PW050E06</v>
          </cell>
        </row>
        <row r="145">
          <cell r="F145" t="str">
            <v>The ParQ</v>
          </cell>
          <cell r="O145" t="str">
            <v>PF48EZ42</v>
          </cell>
        </row>
        <row r="146">
          <cell r="F146" t="str">
            <v>The ParQ</v>
          </cell>
          <cell r="O146" t="str">
            <v>PW050DTV</v>
          </cell>
        </row>
        <row r="147">
          <cell r="F147" t="str">
            <v>The ParQ</v>
          </cell>
          <cell r="O147" t="str">
            <v>PF48EWZ1</v>
          </cell>
        </row>
        <row r="148">
          <cell r="F148" t="str">
            <v>Riverside Plaza</v>
          </cell>
          <cell r="O148" t="str">
            <v>PW050DZ7</v>
          </cell>
        </row>
        <row r="149">
          <cell r="F149" t="str">
            <v>Riverside Plaza</v>
          </cell>
          <cell r="O149" t="str">
            <v>PW050DZB</v>
          </cell>
        </row>
        <row r="150">
          <cell r="F150" t="str">
            <v>AVANI Hua Hin Resort &amp; Villas</v>
          </cell>
          <cell r="O150" t="str">
            <v>PC2E507J</v>
          </cell>
        </row>
        <row r="151">
          <cell r="F151" t="str">
            <v>AVANI Hua Hin Resort &amp; Villas</v>
          </cell>
          <cell r="O151" t="str">
            <v>PC2E504C</v>
          </cell>
        </row>
        <row r="152">
          <cell r="F152" t="str">
            <v>AVANI Hua Hin Resort &amp; Villas</v>
          </cell>
          <cell r="O152" t="str">
            <v>PC2E507R</v>
          </cell>
        </row>
        <row r="153">
          <cell r="F153" t="str">
            <v>AVANI Hua Hin Resort &amp; Villas</v>
          </cell>
          <cell r="O153" t="str">
            <v>PC2E506G</v>
          </cell>
        </row>
        <row r="154">
          <cell r="F154" t="str">
            <v>AVANI Hua Hin Resort &amp; Villas</v>
          </cell>
          <cell r="O154" t="str">
            <v>PC2E50AA</v>
          </cell>
        </row>
        <row r="155">
          <cell r="F155" t="str">
            <v>AVANI Hua Hin Resort &amp; Villas</v>
          </cell>
          <cell r="O155" t="str">
            <v>PC2E505L</v>
          </cell>
        </row>
        <row r="156">
          <cell r="F156" t="str">
            <v>AVANI Hua Hin Resort &amp; Villas</v>
          </cell>
          <cell r="O156" t="str">
            <v>PC2E506J</v>
          </cell>
        </row>
        <row r="157">
          <cell r="F157" t="str">
            <v>AVANI Hua Hin Resort &amp; Villas</v>
          </cell>
          <cell r="O157" t="str">
            <v>PC2E505A</v>
          </cell>
        </row>
        <row r="158">
          <cell r="F158" t="str">
            <v>AVANI Hua Hin Resort &amp; Villas</v>
          </cell>
          <cell r="O158" t="str">
            <v>PC2E507L</v>
          </cell>
        </row>
        <row r="159">
          <cell r="F159" t="str">
            <v>AVANI Hua Hin Resort &amp; Villas</v>
          </cell>
          <cell r="O159" t="str">
            <v>PC2E5073</v>
          </cell>
        </row>
        <row r="160">
          <cell r="F160" t="str">
            <v>AVANI Hua Hin Resort &amp; Villas</v>
          </cell>
          <cell r="O160" t="str">
            <v>PC2E507C</v>
          </cell>
        </row>
        <row r="161">
          <cell r="F161" t="str">
            <v>AVANI Hua Hin Resort &amp; Villas</v>
          </cell>
          <cell r="O161" t="str">
            <v>PC2E506M</v>
          </cell>
        </row>
        <row r="162">
          <cell r="F162" t="str">
            <v>AVANI Hua Hin Resort &amp; Villas</v>
          </cell>
          <cell r="O162" t="str">
            <v>PC2E505P</v>
          </cell>
        </row>
        <row r="163">
          <cell r="F163" t="str">
            <v>AVANI Hua Hin Resort &amp; Villas</v>
          </cell>
          <cell r="O163" t="str">
            <v>PC2E506T</v>
          </cell>
        </row>
        <row r="164">
          <cell r="F164" t="str">
            <v>AVANI Hua Hin Resort &amp; Villas</v>
          </cell>
          <cell r="O164" t="str">
            <v>PC2E502Z</v>
          </cell>
        </row>
        <row r="165">
          <cell r="F165" t="str">
            <v>AVANI Hua Hin Resort &amp; Villas</v>
          </cell>
          <cell r="O165" t="str">
            <v>PC2E503P</v>
          </cell>
        </row>
        <row r="166">
          <cell r="F166" t="str">
            <v>AVANI Hua Hin Resort &amp; Villas</v>
          </cell>
          <cell r="O166" t="str">
            <v>PC2E507A</v>
          </cell>
        </row>
        <row r="167">
          <cell r="F167" t="str">
            <v>AVANI Hua Hin Resort &amp; Villas</v>
          </cell>
          <cell r="O167" t="str">
            <v>PC2E5025</v>
          </cell>
        </row>
        <row r="168">
          <cell r="F168" t="str">
            <v>AVANI Hua Hin Resort &amp; Villas</v>
          </cell>
          <cell r="O168" t="str">
            <v>PC2E5028</v>
          </cell>
        </row>
        <row r="169">
          <cell r="F169" t="str">
            <v>AVANI Hua Hin Resort &amp; Villas</v>
          </cell>
          <cell r="O169" t="str">
            <v>PC2E502Y</v>
          </cell>
        </row>
        <row r="170">
          <cell r="F170" t="str">
            <v>AVANI Hua Hin Resort &amp; Villas</v>
          </cell>
          <cell r="O170" t="str">
            <v>PC2E502D</v>
          </cell>
        </row>
        <row r="171">
          <cell r="F171" t="str">
            <v>AVANI Hua Hin Resort &amp; Villas</v>
          </cell>
          <cell r="O171" t="str">
            <v>PC2E507S</v>
          </cell>
        </row>
        <row r="172">
          <cell r="F172" t="str">
            <v>AVANI Hua Hin Resort &amp; Villas</v>
          </cell>
          <cell r="O172" t="str">
            <v>PC2E507B</v>
          </cell>
        </row>
        <row r="173">
          <cell r="F173" t="str">
            <v>AVANI Hua Hin Resort &amp; Villas</v>
          </cell>
          <cell r="O173" t="str">
            <v>PC2E5026</v>
          </cell>
        </row>
        <row r="174">
          <cell r="F174" t="str">
            <v>AVANI Hua Hin Resort &amp; Villas</v>
          </cell>
          <cell r="O174" t="str">
            <v>PC2E5062</v>
          </cell>
        </row>
        <row r="175">
          <cell r="F175" t="str">
            <v>AVANI Hua Hin Resort &amp; Villas</v>
          </cell>
          <cell r="O175" t="str">
            <v>PC2E505X</v>
          </cell>
        </row>
        <row r="176">
          <cell r="F176" t="str">
            <v>AVANI Hua Hin Resort &amp; Villas</v>
          </cell>
          <cell r="O176" t="str">
            <v>PC2E506C</v>
          </cell>
        </row>
        <row r="177">
          <cell r="F177" t="str">
            <v>AVANI Hua Hin Resort &amp; Villas</v>
          </cell>
          <cell r="O177" t="str">
            <v>PC2E5070</v>
          </cell>
        </row>
        <row r="178">
          <cell r="F178" t="str">
            <v>AVANI Hua Hin Resort &amp; Villas</v>
          </cell>
          <cell r="O178" t="str">
            <v>PC2E5069</v>
          </cell>
        </row>
        <row r="179">
          <cell r="F179" t="str">
            <v>AVANI Hua Hin Resort &amp; Villas</v>
          </cell>
          <cell r="O179" t="str">
            <v>PC2E505K</v>
          </cell>
        </row>
        <row r="180">
          <cell r="F180" t="str">
            <v>AVANI Hua Hin Resort &amp; Villas</v>
          </cell>
          <cell r="O180" t="str">
            <v>PC2E505F</v>
          </cell>
        </row>
        <row r="181">
          <cell r="F181" t="str">
            <v>AVANI Hua Hin Resort &amp; Villas</v>
          </cell>
          <cell r="O181" t="str">
            <v>PC2E5031</v>
          </cell>
        </row>
        <row r="182">
          <cell r="F182" t="str">
            <v>AVANI Hua Hin Resort &amp; Villas</v>
          </cell>
          <cell r="O182" t="str">
            <v>PC2E503A</v>
          </cell>
        </row>
        <row r="183">
          <cell r="F183" t="str">
            <v>AVANI Hua Hin Resort &amp; Villas</v>
          </cell>
          <cell r="O183" t="str">
            <v>PC2E502N</v>
          </cell>
        </row>
        <row r="184">
          <cell r="F184" t="str">
            <v>AVANI Hua Hin Resort &amp; Villas</v>
          </cell>
          <cell r="O184" t="str">
            <v>PC2E5078</v>
          </cell>
        </row>
        <row r="185">
          <cell r="F185" t="str">
            <v>AVANI Hua Hin Resort &amp; Villas</v>
          </cell>
          <cell r="O185" t="str">
            <v>PC2E509K</v>
          </cell>
        </row>
        <row r="186">
          <cell r="F186" t="str">
            <v>Art of Baking Co.,Ltd</v>
          </cell>
          <cell r="O186" t="str">
            <v>PW05KJS4</v>
          </cell>
        </row>
        <row r="187">
          <cell r="F187" t="str">
            <v>Art of Baking Co.,Ltd</v>
          </cell>
          <cell r="O187" t="str">
            <v>PW05KJSV</v>
          </cell>
        </row>
        <row r="188">
          <cell r="F188" t="str">
            <v>Art of Baking Co.,Ltd</v>
          </cell>
          <cell r="O188" t="str">
            <v>PW05KJT8</v>
          </cell>
        </row>
        <row r="189">
          <cell r="F189" t="str">
            <v>Art of Baking Co.,Ltd</v>
          </cell>
          <cell r="O189" t="str">
            <v>PW05KJSQ</v>
          </cell>
        </row>
        <row r="190">
          <cell r="F190" t="str">
            <v>SCOMADI (Thailand) Co., Ltd.</v>
          </cell>
          <cell r="O190" t="str">
            <v>PW050DWG</v>
          </cell>
        </row>
        <row r="191">
          <cell r="F191" t="str">
            <v>SCOMADI (Thailand) Co., Ltd.</v>
          </cell>
          <cell r="O191" t="str">
            <v>PW050DW9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</sheetNames>
    <sheetDataSet>
      <sheetData sheetId="0">
        <row r="1">
          <cell r="B1" t="str">
            <v>All Machine</v>
          </cell>
          <cell r="I1" t="str">
            <v>Description</v>
          </cell>
        </row>
        <row r="2">
          <cell r="B2" t="str">
            <v>PC24CYN4</v>
          </cell>
          <cell r="I2" t="str">
            <v>OK</v>
          </cell>
        </row>
        <row r="3">
          <cell r="B3" t="str">
            <v>PC24CYNA</v>
          </cell>
          <cell r="I3" t="str">
            <v>OK</v>
          </cell>
        </row>
        <row r="4">
          <cell r="B4" t="str">
            <v>PC24JN29</v>
          </cell>
          <cell r="I4" t="str">
            <v>OK</v>
          </cell>
        </row>
        <row r="5">
          <cell r="B5" t="str">
            <v>PC2AB029</v>
          </cell>
          <cell r="I5" t="str">
            <v>No Mouse</v>
          </cell>
        </row>
        <row r="6">
          <cell r="B6" t="str">
            <v>PC2AB02A</v>
          </cell>
          <cell r="I6" t="str">
            <v>No Mouse</v>
          </cell>
        </row>
        <row r="7">
          <cell r="B7" t="str">
            <v>PC283DRH</v>
          </cell>
          <cell r="I7" t="str">
            <v>No Mouse</v>
          </cell>
        </row>
        <row r="8">
          <cell r="B8" t="str">
            <v>PC24JN25</v>
          </cell>
          <cell r="I8" t="str">
            <v>OK</v>
          </cell>
        </row>
        <row r="9">
          <cell r="B9" t="str">
            <v>PC283DRC</v>
          </cell>
          <cell r="I9" t="str">
            <v>OK</v>
          </cell>
        </row>
        <row r="10">
          <cell r="B10" t="str">
            <v>PC24JN1X</v>
          </cell>
          <cell r="I10" t="str">
            <v>OK</v>
          </cell>
        </row>
        <row r="11">
          <cell r="B11" t="str">
            <v>PC2AB01A</v>
          </cell>
          <cell r="I11" t="str">
            <v>OK</v>
          </cell>
        </row>
        <row r="12">
          <cell r="B12" t="str">
            <v>PC283DRS</v>
          </cell>
          <cell r="I12" t="str">
            <v>OK</v>
          </cell>
        </row>
        <row r="13">
          <cell r="B13" t="str">
            <v>PC2AB023</v>
          </cell>
          <cell r="I13" t="str">
            <v>OK</v>
          </cell>
        </row>
        <row r="14">
          <cell r="B14" t="str">
            <v>PC283DSA</v>
          </cell>
          <cell r="I14" t="str">
            <v>OK</v>
          </cell>
        </row>
        <row r="15">
          <cell r="B15" t="str">
            <v>PC24CYNL</v>
          </cell>
          <cell r="I15" t="str">
            <v>OK</v>
          </cell>
        </row>
        <row r="16">
          <cell r="B16" t="str">
            <v>PC2AB01F</v>
          </cell>
          <cell r="I16" t="str">
            <v>OK</v>
          </cell>
        </row>
        <row r="17">
          <cell r="B17" t="str">
            <v>PC24JN21</v>
          </cell>
          <cell r="I17" t="str">
            <v>OK</v>
          </cell>
        </row>
        <row r="18">
          <cell r="B18" t="str">
            <v>PC2AB01X</v>
          </cell>
          <cell r="I18" t="str">
            <v>OK</v>
          </cell>
        </row>
        <row r="19">
          <cell r="B19" t="str">
            <v>PC2AB01V</v>
          </cell>
          <cell r="I19" t="str">
            <v>OK</v>
          </cell>
        </row>
        <row r="20">
          <cell r="B20" t="str">
            <v>PF3DZ0DS</v>
          </cell>
          <cell r="I20" t="str">
            <v>OK</v>
          </cell>
        </row>
        <row r="21">
          <cell r="B21" t="str">
            <v>PC2AB01Q</v>
          </cell>
          <cell r="I21" t="str">
            <v>Drive DVD External (MNB2018000076L)</v>
          </cell>
        </row>
        <row r="22">
          <cell r="B22" t="str">
            <v>PC2AB021</v>
          </cell>
          <cell r="I22" t="str">
            <v>OK</v>
          </cell>
        </row>
        <row r="23">
          <cell r="B23" t="str">
            <v>PC233QTE</v>
          </cell>
          <cell r="I23" t="str">
            <v>OK</v>
          </cell>
        </row>
        <row r="24">
          <cell r="B24" t="str">
            <v>PC24CYN3</v>
          </cell>
          <cell r="I24" t="str">
            <v>OK</v>
          </cell>
        </row>
        <row r="25">
          <cell r="B25" t="str">
            <v>PC2AB014</v>
          </cell>
          <cell r="I25" t="str">
            <v>OK</v>
          </cell>
        </row>
        <row r="26">
          <cell r="B26" t="str">
            <v>PC24JN2F</v>
          </cell>
          <cell r="I26" t="str">
            <v>OK</v>
          </cell>
        </row>
        <row r="27">
          <cell r="B27" t="str">
            <v>PC24CYNM</v>
          </cell>
          <cell r="I27" t="str">
            <v>OK</v>
          </cell>
        </row>
        <row r="28">
          <cell r="B28" t="str">
            <v>PC2AB015</v>
          </cell>
          <cell r="I28" t="str">
            <v>OK</v>
          </cell>
        </row>
        <row r="29">
          <cell r="B29" t="str">
            <v>PC2AB01H</v>
          </cell>
          <cell r="I29" t="str">
            <v>OK</v>
          </cell>
        </row>
        <row r="30">
          <cell r="B30" t="str">
            <v>PC2AB02G</v>
          </cell>
          <cell r="I30" t="str">
            <v>OK</v>
          </cell>
        </row>
        <row r="31">
          <cell r="B31" t="str">
            <v>PC2AB02C</v>
          </cell>
          <cell r="I31" t="str">
            <v>OK</v>
          </cell>
        </row>
        <row r="32">
          <cell r="B32" t="str">
            <v>PC283DS2</v>
          </cell>
          <cell r="I32" t="str">
            <v>OK</v>
          </cell>
        </row>
        <row r="33">
          <cell r="B33" t="str">
            <v>PC2AB01K</v>
          </cell>
          <cell r="I33" t="str">
            <v>OK</v>
          </cell>
        </row>
        <row r="34">
          <cell r="B34" t="str">
            <v>PC2AB018</v>
          </cell>
          <cell r="I34" t="str">
            <v>OK</v>
          </cell>
        </row>
        <row r="35">
          <cell r="B35" t="str">
            <v>PC2AB02H</v>
          </cell>
          <cell r="I35" t="str">
            <v>OK</v>
          </cell>
        </row>
        <row r="36">
          <cell r="B36" t="str">
            <v>PC283DS0</v>
          </cell>
          <cell r="I36" t="str">
            <v>OK</v>
          </cell>
        </row>
        <row r="37">
          <cell r="B37" t="str">
            <v>PC24CYN0</v>
          </cell>
          <cell r="I37" t="str">
            <v>OK</v>
          </cell>
        </row>
        <row r="38">
          <cell r="B38" t="str">
            <v>PC2AB01N</v>
          </cell>
          <cell r="I38" t="str">
            <v>OK</v>
          </cell>
        </row>
        <row r="39">
          <cell r="B39" t="str">
            <v>PC2AB01B</v>
          </cell>
          <cell r="I39" t="str">
            <v>OK</v>
          </cell>
        </row>
        <row r="40">
          <cell r="B40" t="str">
            <v>PC2AB01S</v>
          </cell>
          <cell r="I40" t="str">
            <v>OK</v>
          </cell>
        </row>
        <row r="41">
          <cell r="B41" t="str">
            <v>PC2AB01E</v>
          </cell>
          <cell r="I41" t="str">
            <v>OK</v>
          </cell>
        </row>
        <row r="42">
          <cell r="B42" t="str">
            <v>PC2AB024</v>
          </cell>
          <cell r="I42" t="str">
            <v>OK</v>
          </cell>
        </row>
        <row r="43">
          <cell r="B43" t="str">
            <v>PF3DYSQV</v>
          </cell>
          <cell r="I43" t="str">
            <v>OK</v>
          </cell>
        </row>
        <row r="44">
          <cell r="B44" t="str">
            <v>PF3FG9TM</v>
          </cell>
          <cell r="I44" t="str">
            <v>OK</v>
          </cell>
        </row>
        <row r="45">
          <cell r="B45" t="str">
            <v>PC2AB017</v>
          </cell>
          <cell r="I45" t="str">
            <v>No Adapter</v>
          </cell>
        </row>
        <row r="46">
          <cell r="B46" t="str">
            <v>PF3QHTB4</v>
          </cell>
          <cell r="I46" t="str">
            <v>OK</v>
          </cell>
        </row>
        <row r="47">
          <cell r="B47" t="str">
            <v>PF3QEN7E</v>
          </cell>
          <cell r="I47" t="str">
            <v>OK</v>
          </cell>
        </row>
        <row r="48">
          <cell r="B48" t="str">
            <v>PF3QEXS0</v>
          </cell>
          <cell r="I48" t="str">
            <v>OK</v>
          </cell>
        </row>
        <row r="49">
          <cell r="B49" t="str">
            <v>PF3R9KFJ</v>
          </cell>
          <cell r="I49" t="str">
            <v>OK</v>
          </cell>
        </row>
        <row r="50">
          <cell r="B50" t="str">
            <v>PC2DV8L0</v>
          </cell>
          <cell r="I50" t="str">
            <v>OK</v>
          </cell>
        </row>
        <row r="51">
          <cell r="B51" t="str">
            <v>PF3QHW9B</v>
          </cell>
          <cell r="I51" t="str">
            <v>OK</v>
          </cell>
        </row>
        <row r="52">
          <cell r="B52" t="str">
            <v>PC2DV8NY</v>
          </cell>
          <cell r="I52" t="str">
            <v>OK</v>
          </cell>
        </row>
        <row r="53">
          <cell r="B53" t="str">
            <v>PC2DV8M2</v>
          </cell>
          <cell r="I53" t="str">
            <v>OK</v>
          </cell>
        </row>
        <row r="54">
          <cell r="B54" t="str">
            <v>PF3QHHS6</v>
          </cell>
          <cell r="I54" t="str">
            <v>OK</v>
          </cell>
        </row>
        <row r="55">
          <cell r="B55" t="str">
            <v>PC2DV8KS</v>
          </cell>
          <cell r="I55" t="str">
            <v>No Mouse</v>
          </cell>
        </row>
        <row r="56">
          <cell r="B56" t="str">
            <v>PC2DV8JZ</v>
          </cell>
          <cell r="I56" t="str">
            <v>OK</v>
          </cell>
        </row>
        <row r="57">
          <cell r="B57" t="str">
            <v>PC2DV8MA</v>
          </cell>
          <cell r="I57" t="str">
            <v>OK</v>
          </cell>
        </row>
        <row r="58">
          <cell r="B58" t="str">
            <v>PC2DV8P8</v>
          </cell>
          <cell r="I58" t="str">
            <v>OK</v>
          </cell>
        </row>
        <row r="59">
          <cell r="B59" t="str">
            <v>PF3QMEZP</v>
          </cell>
          <cell r="I59" t="str">
            <v>OK</v>
          </cell>
        </row>
        <row r="60">
          <cell r="B60" t="str">
            <v>PF3QH8TA</v>
          </cell>
          <cell r="I60" t="str">
            <v>OK</v>
          </cell>
        </row>
        <row r="61">
          <cell r="B61" t="str">
            <v>PF3QHT0X</v>
          </cell>
          <cell r="I61" t="str">
            <v>OK</v>
          </cell>
        </row>
        <row r="62">
          <cell r="B62" t="str">
            <v>PC2DV8KA</v>
          </cell>
          <cell r="I62" t="str">
            <v>OK</v>
          </cell>
        </row>
        <row r="63">
          <cell r="B63" t="str">
            <v>PF3QHSZ2</v>
          </cell>
          <cell r="I63" t="str">
            <v>OK</v>
          </cell>
        </row>
        <row r="64">
          <cell r="B64" t="str">
            <v>PC283DRW</v>
          </cell>
          <cell r="I64" t="str">
            <v>No Mouse</v>
          </cell>
        </row>
        <row r="65">
          <cell r="B65" t="str">
            <v>PF3QPY2E</v>
          </cell>
          <cell r="I65" t="str">
            <v>OK</v>
          </cell>
        </row>
        <row r="66">
          <cell r="B66" t="str">
            <v>PF3QQ5F2</v>
          </cell>
          <cell r="I66" t="str">
            <v>OK</v>
          </cell>
        </row>
        <row r="67">
          <cell r="B67" t="str">
            <v>PF3Q8VHS</v>
          </cell>
          <cell r="I67" t="str">
            <v>OK</v>
          </cell>
        </row>
        <row r="68">
          <cell r="B68" t="str">
            <v>PC2DV8KQ</v>
          </cell>
          <cell r="I68" t="str">
            <v>No Mouse</v>
          </cell>
        </row>
        <row r="69">
          <cell r="B69" t="str">
            <v>PC2DV8J7</v>
          </cell>
          <cell r="I69" t="str">
            <v>No Mouse</v>
          </cell>
        </row>
        <row r="70">
          <cell r="B70" t="str">
            <v>PF3QQTTC</v>
          </cell>
          <cell r="I70" t="str">
            <v>OK</v>
          </cell>
        </row>
        <row r="71">
          <cell r="B71" t="str">
            <v>PC2DV8KY</v>
          </cell>
          <cell r="I71" t="str">
            <v>No Mouse</v>
          </cell>
        </row>
        <row r="72">
          <cell r="B72" t="str">
            <v>PF3QKQ94</v>
          </cell>
          <cell r="I72" t="str">
            <v>No Mouse</v>
          </cell>
        </row>
        <row r="73">
          <cell r="B73" t="str">
            <v>PF3QPVX7</v>
          </cell>
          <cell r="I73" t="str">
            <v>OK</v>
          </cell>
        </row>
        <row r="74">
          <cell r="B74" t="str">
            <v>PC2E50AE</v>
          </cell>
          <cell r="I74" t="str">
            <v>Monitor + PC</v>
          </cell>
        </row>
        <row r="75">
          <cell r="B75" t="str">
            <v>V5GZB962</v>
          </cell>
          <cell r="I75" t="str">
            <v>Monitor + PC</v>
          </cell>
        </row>
        <row r="76">
          <cell r="B76" t="str">
            <v>PF3QHFN4</v>
          </cell>
          <cell r="I76" t="str">
            <v>No Bag</v>
          </cell>
        </row>
        <row r="77">
          <cell r="B77" t="str">
            <v>PF3QJ3DQ</v>
          </cell>
          <cell r="I77" t="str">
            <v>No Bag, Mouse</v>
          </cell>
        </row>
        <row r="78">
          <cell r="B78" t="str">
            <v>PF3QJ117</v>
          </cell>
          <cell r="I78" t="str">
            <v>No Bag</v>
          </cell>
        </row>
        <row r="79">
          <cell r="B79" t="str">
            <v>PF3QHWA2</v>
          </cell>
          <cell r="I79" t="str">
            <v>No Mouse</v>
          </cell>
        </row>
        <row r="80">
          <cell r="B80" t="str">
            <v>PC2E5038</v>
          </cell>
          <cell r="I80" t="str">
            <v>Monitor + PC  /  No Adapter</v>
          </cell>
        </row>
        <row r="81">
          <cell r="B81" t="str">
            <v>V5GZM477</v>
          </cell>
          <cell r="I81" t="str">
            <v>Monitor + PC</v>
          </cell>
        </row>
        <row r="82">
          <cell r="B82" t="str">
            <v>PC2E5091</v>
          </cell>
          <cell r="I82" t="str">
            <v>OK</v>
          </cell>
        </row>
        <row r="83">
          <cell r="B83" t="str">
            <v>PC2E50AV</v>
          </cell>
          <cell r="I83" t="str">
            <v>OK</v>
          </cell>
        </row>
        <row r="84">
          <cell r="B84" t="str">
            <v>PC2E508B</v>
          </cell>
          <cell r="I84" t="str">
            <v>OK</v>
          </cell>
        </row>
        <row r="85">
          <cell r="B85" t="str">
            <v>PC2E50B1</v>
          </cell>
          <cell r="I85" t="str">
            <v>OK</v>
          </cell>
        </row>
        <row r="86">
          <cell r="B86" t="str">
            <v>PC2E5039</v>
          </cell>
          <cell r="I86" t="str">
            <v>OK</v>
          </cell>
        </row>
        <row r="87">
          <cell r="B87" t="str">
            <v>PC2E503D</v>
          </cell>
          <cell r="I87" t="str">
            <v>OK</v>
          </cell>
        </row>
        <row r="88">
          <cell r="B88" t="str">
            <v>PC2E5029</v>
          </cell>
          <cell r="I88" t="str">
            <v>OK</v>
          </cell>
        </row>
        <row r="89">
          <cell r="B89" t="str">
            <v>PC2E508E</v>
          </cell>
          <cell r="I89" t="str">
            <v>OK</v>
          </cell>
        </row>
        <row r="90">
          <cell r="B90" t="str">
            <v>PC2E509Z</v>
          </cell>
          <cell r="I90" t="str">
            <v>OK</v>
          </cell>
        </row>
        <row r="91">
          <cell r="B91" t="str">
            <v>PC2E50A4</v>
          </cell>
          <cell r="I91" t="str">
            <v>OK</v>
          </cell>
        </row>
        <row r="92">
          <cell r="B92" t="str">
            <v>PC2E509B</v>
          </cell>
          <cell r="I92" t="str">
            <v>OK</v>
          </cell>
        </row>
        <row r="93">
          <cell r="B93" t="str">
            <v>PC2E509G</v>
          </cell>
          <cell r="I93" t="str">
            <v>OK</v>
          </cell>
        </row>
        <row r="94">
          <cell r="B94" t="str">
            <v>PC2E50B6</v>
          </cell>
          <cell r="I94" t="str">
            <v>OK</v>
          </cell>
        </row>
        <row r="95">
          <cell r="B95" t="str">
            <v>PC2E5097</v>
          </cell>
          <cell r="I95" t="str">
            <v>OK</v>
          </cell>
        </row>
        <row r="96">
          <cell r="B96" t="str">
            <v>PC2E509V</v>
          </cell>
          <cell r="I96" t="str">
            <v>OK</v>
          </cell>
        </row>
        <row r="97">
          <cell r="B97" t="str">
            <v>V5GZB939</v>
          </cell>
          <cell r="I97" t="str">
            <v>OK</v>
          </cell>
        </row>
        <row r="98">
          <cell r="B98" t="str">
            <v>V5GZM462</v>
          </cell>
          <cell r="I98" t="str">
            <v>OK</v>
          </cell>
        </row>
        <row r="99">
          <cell r="B99" t="str">
            <v>V5GZM466</v>
          </cell>
          <cell r="I99" t="str">
            <v>OK</v>
          </cell>
        </row>
        <row r="100">
          <cell r="B100" t="str">
            <v>V5GZM480</v>
          </cell>
          <cell r="I100" t="str">
            <v>OK</v>
          </cell>
        </row>
        <row r="101">
          <cell r="B101" t="str">
            <v>V5GZM478</v>
          </cell>
          <cell r="I101" t="str">
            <v>OK</v>
          </cell>
        </row>
        <row r="102">
          <cell r="B102" t="str">
            <v>V5GZM451</v>
          </cell>
          <cell r="I102" t="str">
            <v>OK</v>
          </cell>
        </row>
        <row r="103">
          <cell r="B103" t="str">
            <v>V5GZM483</v>
          </cell>
          <cell r="I103" t="str">
            <v>OK</v>
          </cell>
        </row>
        <row r="104">
          <cell r="B104" t="str">
            <v>V5GZM448</v>
          </cell>
          <cell r="I104" t="str">
            <v>OK</v>
          </cell>
        </row>
        <row r="105">
          <cell r="B105" t="str">
            <v>V5GZM463</v>
          </cell>
          <cell r="I105" t="str">
            <v>OK</v>
          </cell>
        </row>
        <row r="106">
          <cell r="B106" t="str">
            <v>PC2E508F</v>
          </cell>
          <cell r="I106" t="str">
            <v>Monitor + PC</v>
          </cell>
        </row>
        <row r="107">
          <cell r="B107" t="str">
            <v>V5GZM460</v>
          </cell>
          <cell r="I107" t="str">
            <v>Monitor + PC</v>
          </cell>
        </row>
        <row r="108">
          <cell r="B108" t="str">
            <v>PC2E5089</v>
          </cell>
          <cell r="I108" t="str">
            <v>Monitor + PC</v>
          </cell>
        </row>
        <row r="109">
          <cell r="B109" t="str">
            <v>V5GZM464</v>
          </cell>
          <cell r="I109" t="str">
            <v>Monitor + PC</v>
          </cell>
        </row>
        <row r="110">
          <cell r="B110" t="str">
            <v>PC2E5081</v>
          </cell>
          <cell r="I110" t="str">
            <v>Monitor + PC</v>
          </cell>
        </row>
        <row r="111">
          <cell r="B111" t="str">
            <v>V5GZM465</v>
          </cell>
          <cell r="I111" t="str">
            <v>Monitor + PC</v>
          </cell>
        </row>
        <row r="112">
          <cell r="B112" t="str">
            <v>PC2E502E</v>
          </cell>
          <cell r="I112" t="str">
            <v>Monitor + PC</v>
          </cell>
        </row>
        <row r="113">
          <cell r="B113" t="str">
            <v>V5GZM479</v>
          </cell>
          <cell r="I113" t="str">
            <v>Monitor + PC</v>
          </cell>
        </row>
        <row r="114">
          <cell r="B114" t="str">
            <v>PC2E509X</v>
          </cell>
          <cell r="I114" t="str">
            <v>Monitor + PC</v>
          </cell>
        </row>
        <row r="115">
          <cell r="B115" t="str">
            <v>V5GZM468</v>
          </cell>
          <cell r="I115" t="str">
            <v>Monitor + PC</v>
          </cell>
        </row>
        <row r="116">
          <cell r="B116" t="str">
            <v>PC2E5032</v>
          </cell>
          <cell r="I116" t="str">
            <v>Monitor + PC</v>
          </cell>
        </row>
        <row r="117">
          <cell r="B117" t="str">
            <v>VG5ZM449</v>
          </cell>
          <cell r="I117" t="str">
            <v>Monitor + PC</v>
          </cell>
        </row>
        <row r="118">
          <cell r="B118" t="str">
            <v>PC2E505M</v>
          </cell>
          <cell r="I118" t="str">
            <v>Monitor + PC</v>
          </cell>
        </row>
        <row r="119">
          <cell r="B119" t="str">
            <v>V5GZM482</v>
          </cell>
          <cell r="I119" t="str">
            <v>Monitor + PC</v>
          </cell>
        </row>
        <row r="120">
          <cell r="B120" t="str">
            <v>PF3QHVZA</v>
          </cell>
          <cell r="I120" t="str">
            <v>OK</v>
          </cell>
        </row>
        <row r="121">
          <cell r="B121" t="str">
            <v>PC24CYNH</v>
          </cell>
          <cell r="I121" t="str">
            <v>OK</v>
          </cell>
        </row>
        <row r="122">
          <cell r="B122" t="str">
            <v>PC24CYNK</v>
          </cell>
          <cell r="I122" t="str">
            <v>OK</v>
          </cell>
        </row>
        <row r="123">
          <cell r="B123" t="str">
            <v>V5GZM4439</v>
          </cell>
          <cell r="I123" t="str">
            <v>Monitor + PC</v>
          </cell>
        </row>
        <row r="124">
          <cell r="B124" t="str">
            <v>PC2E508P</v>
          </cell>
          <cell r="I124" t="str">
            <v>Monitor + PC</v>
          </cell>
        </row>
        <row r="125">
          <cell r="B125" t="str">
            <v>PC2E501V</v>
          </cell>
          <cell r="I125" t="str">
            <v>Monitor + PC</v>
          </cell>
        </row>
        <row r="126">
          <cell r="B126" t="str">
            <v>V5GZM450</v>
          </cell>
          <cell r="I126" t="str">
            <v>Monitor + PC</v>
          </cell>
        </row>
        <row r="127">
          <cell r="B127" t="str">
            <v>PC2E50B2</v>
          </cell>
          <cell r="I127" t="str">
            <v>Monitor + PC</v>
          </cell>
        </row>
        <row r="128">
          <cell r="B128" t="str">
            <v>V5GZM481</v>
          </cell>
          <cell r="I128" t="str">
            <v>Monitor + PC</v>
          </cell>
        </row>
        <row r="129">
          <cell r="B129" t="str">
            <v>PC2DV8K6</v>
          </cell>
          <cell r="I129" t="str">
            <v>OK</v>
          </cell>
        </row>
        <row r="130">
          <cell r="B130" t="str">
            <v>PC2DV8KC</v>
          </cell>
          <cell r="I130" t="str">
            <v>OK</v>
          </cell>
        </row>
        <row r="131">
          <cell r="B131" t="str">
            <v>PF3QEXNB</v>
          </cell>
          <cell r="I131" t="str">
            <v>OK</v>
          </cell>
        </row>
        <row r="132">
          <cell r="B132" t="str">
            <v>PF3QHHCL</v>
          </cell>
          <cell r="I132" t="str">
            <v>OK</v>
          </cell>
        </row>
        <row r="133">
          <cell r="B133" t="str">
            <v>PC2AB01J</v>
          </cell>
          <cell r="I133" t="str">
            <v>No Mouse</v>
          </cell>
        </row>
        <row r="134">
          <cell r="B134" t="str">
            <v>PC2DV8MV</v>
          </cell>
          <cell r="I134" t="str">
            <v>No Mouse</v>
          </cell>
        </row>
        <row r="135">
          <cell r="B135" t="str">
            <v>PC2DV8JB</v>
          </cell>
          <cell r="I135" t="str">
            <v>OK</v>
          </cell>
        </row>
        <row r="136">
          <cell r="B136" t="str">
            <v>PC2DV8LA</v>
          </cell>
          <cell r="I136" t="str">
            <v>OK</v>
          </cell>
        </row>
        <row r="137">
          <cell r="B137" t="str">
            <v>PF3QEXW3</v>
          </cell>
          <cell r="I137" t="str">
            <v>OK</v>
          </cell>
        </row>
        <row r="138">
          <cell r="B138" t="str">
            <v>PF3QKK7R</v>
          </cell>
          <cell r="I138" t="str">
            <v>No Bag, No Mouse</v>
          </cell>
        </row>
        <row r="139">
          <cell r="B139" t="str">
            <v>PC2DV8KM</v>
          </cell>
          <cell r="I139" t="str">
            <v>OK</v>
          </cell>
        </row>
        <row r="140">
          <cell r="B140" t="str">
            <v>PF3QHF64</v>
          </cell>
          <cell r="I140" t="str">
            <v>No Mouse</v>
          </cell>
        </row>
        <row r="141">
          <cell r="B141" t="str">
            <v>PF3QJ9M0</v>
          </cell>
          <cell r="I141" t="str">
            <v>OK</v>
          </cell>
        </row>
        <row r="142">
          <cell r="B142" t="str">
            <v>PC2AB01R</v>
          </cell>
          <cell r="I142" t="str">
            <v>No Mouse</v>
          </cell>
        </row>
        <row r="143">
          <cell r="B143" t="str">
            <v>PC2DV8LF</v>
          </cell>
          <cell r="I143" t="str">
            <v>No Mouse</v>
          </cell>
        </row>
        <row r="144">
          <cell r="B144" t="str">
            <v>PC2DV8LG</v>
          </cell>
          <cell r="I144" t="str">
            <v>OK</v>
          </cell>
        </row>
        <row r="145">
          <cell r="B145" t="str">
            <v>PC2DV8M0</v>
          </cell>
          <cell r="I145" t="str">
            <v>No Mouse</v>
          </cell>
        </row>
        <row r="146">
          <cell r="B146" t="str">
            <v>PC2DV8N9</v>
          </cell>
          <cell r="I146" t="str">
            <v>No Mouse</v>
          </cell>
        </row>
        <row r="147">
          <cell r="B147" t="str">
            <v>PC2DV8P9</v>
          </cell>
          <cell r="I147" t="str">
            <v>No Mouse</v>
          </cell>
        </row>
        <row r="148">
          <cell r="B148" t="str">
            <v>PC2DV8N4</v>
          </cell>
          <cell r="I148" t="str">
            <v>OK</v>
          </cell>
        </row>
        <row r="149">
          <cell r="B149" t="str">
            <v>PC2DV8N0</v>
          </cell>
          <cell r="I149" t="str">
            <v>No Mouse</v>
          </cell>
        </row>
        <row r="150">
          <cell r="B150" t="str">
            <v>PC2DV8MR</v>
          </cell>
          <cell r="I150" t="str">
            <v>No Mouse</v>
          </cell>
        </row>
        <row r="151">
          <cell r="B151" t="str">
            <v>PC2DV8JX</v>
          </cell>
          <cell r="I151" t="str">
            <v>No Mouse</v>
          </cell>
        </row>
        <row r="152">
          <cell r="B152" t="str">
            <v>PC2DV8LW</v>
          </cell>
          <cell r="I152" t="str">
            <v>No Mouse</v>
          </cell>
        </row>
        <row r="153">
          <cell r="B153" t="str">
            <v>PC2DV8KR</v>
          </cell>
          <cell r="I153" t="str">
            <v>No Mouse</v>
          </cell>
        </row>
        <row r="154">
          <cell r="B154" t="str">
            <v>PC2DV8N3</v>
          </cell>
          <cell r="I154" t="str">
            <v>No Mouse</v>
          </cell>
        </row>
        <row r="155">
          <cell r="B155" t="str">
            <v>PC2E50AK</v>
          </cell>
          <cell r="I155" t="str">
            <v>OK</v>
          </cell>
        </row>
        <row r="156">
          <cell r="B156" t="str">
            <v>PC2E50A3</v>
          </cell>
          <cell r="I156" t="str">
            <v>OK</v>
          </cell>
        </row>
        <row r="157">
          <cell r="B157" t="str">
            <v>PC2E50AP</v>
          </cell>
          <cell r="I157" t="str">
            <v>OK</v>
          </cell>
        </row>
        <row r="158">
          <cell r="B158" t="str">
            <v>PC2E50AG</v>
          </cell>
          <cell r="I158" t="str">
            <v>OK</v>
          </cell>
        </row>
        <row r="159">
          <cell r="B159" t="str">
            <v>PC2E509R</v>
          </cell>
          <cell r="I159" t="str">
            <v>OK</v>
          </cell>
        </row>
        <row r="160">
          <cell r="B160" t="str">
            <v>PC2E50AL</v>
          </cell>
          <cell r="I160" t="str">
            <v>OK</v>
          </cell>
        </row>
        <row r="161">
          <cell r="B161" t="str">
            <v>PC2DV8HK</v>
          </cell>
          <cell r="I161" t="str">
            <v>OK</v>
          </cell>
        </row>
        <row r="162">
          <cell r="B162" t="str">
            <v>PC2DK9QD</v>
          </cell>
          <cell r="I162" t="str">
            <v>OK</v>
          </cell>
        </row>
        <row r="163">
          <cell r="B163" t="str">
            <v>PC2DV8LC</v>
          </cell>
          <cell r="I163" t="str">
            <v>No Mouse</v>
          </cell>
        </row>
        <row r="164">
          <cell r="B164" t="str">
            <v>PC2DV8JR</v>
          </cell>
          <cell r="I164" t="str">
            <v>OK</v>
          </cell>
        </row>
        <row r="165">
          <cell r="B165" t="str">
            <v>PC2E509J</v>
          </cell>
          <cell r="I165" t="str">
            <v>OK</v>
          </cell>
        </row>
        <row r="166">
          <cell r="B166" t="str">
            <v>PF3QHDHE</v>
          </cell>
          <cell r="I166" t="str">
            <v>OK</v>
          </cell>
        </row>
        <row r="167">
          <cell r="B167" t="str">
            <v>PF3QQD5S</v>
          </cell>
          <cell r="I167" t="str">
            <v>OK</v>
          </cell>
        </row>
        <row r="168">
          <cell r="B168" t="str">
            <v>PF3QJ3GR</v>
          </cell>
          <cell r="I168" t="str">
            <v>No Mouse</v>
          </cell>
        </row>
        <row r="169">
          <cell r="B169" t="str">
            <v>PF3QH8W1</v>
          </cell>
          <cell r="I169" t="str">
            <v>OK</v>
          </cell>
        </row>
        <row r="170">
          <cell r="B170" t="str">
            <v>PF3QH8S7</v>
          </cell>
          <cell r="I170" t="str">
            <v>OK</v>
          </cell>
        </row>
        <row r="171">
          <cell r="B171" t="str">
            <v>PF3QQ2GH</v>
          </cell>
          <cell r="I171" t="str">
            <v>OK</v>
          </cell>
        </row>
        <row r="172">
          <cell r="B172" t="str">
            <v>PF3QQP38</v>
          </cell>
          <cell r="I172" t="str">
            <v>OK</v>
          </cell>
        </row>
        <row r="173">
          <cell r="B173" t="str">
            <v>PF3QKQLA</v>
          </cell>
          <cell r="I173" t="str">
            <v>No Mouse</v>
          </cell>
        </row>
        <row r="174">
          <cell r="B174" t="str">
            <v>PF3QHT39</v>
          </cell>
          <cell r="I174" t="str">
            <v>OK</v>
          </cell>
        </row>
        <row r="175">
          <cell r="B175" t="str">
            <v>PF3QHY7H</v>
          </cell>
          <cell r="I175" t="str">
            <v>OK</v>
          </cell>
        </row>
        <row r="176">
          <cell r="B176" t="str">
            <v>PF3QHDES</v>
          </cell>
        </row>
        <row r="177">
          <cell r="B177" t="str">
            <v>PF3QQYC5</v>
          </cell>
          <cell r="I177" t="str">
            <v>No Mouse</v>
          </cell>
        </row>
        <row r="178">
          <cell r="B178" t="str">
            <v>PF3QJA5V</v>
          </cell>
          <cell r="I178" t="str">
            <v>OK</v>
          </cell>
        </row>
        <row r="179">
          <cell r="B179" t="str">
            <v>PF3QJ2X9</v>
          </cell>
          <cell r="I179" t="str">
            <v>OK</v>
          </cell>
        </row>
        <row r="180">
          <cell r="B180" t="str">
            <v>PF3QH900</v>
          </cell>
          <cell r="I180" t="str">
            <v>OK</v>
          </cell>
        </row>
        <row r="181">
          <cell r="B181" t="str">
            <v>PF3Q67WK</v>
          </cell>
          <cell r="I181" t="str">
            <v>OK</v>
          </cell>
        </row>
        <row r="182">
          <cell r="B182" t="str">
            <v>PF3Q63C9</v>
          </cell>
          <cell r="I182" t="str">
            <v>OK</v>
          </cell>
        </row>
        <row r="183">
          <cell r="B183" t="str">
            <v>PF3QET01</v>
          </cell>
          <cell r="I183" t="str">
            <v>OK</v>
          </cell>
        </row>
        <row r="184">
          <cell r="B184" t="str">
            <v>PF3QHYSD</v>
          </cell>
          <cell r="I184" t="str">
            <v>OK</v>
          </cell>
        </row>
        <row r="185">
          <cell r="B185" t="str">
            <v>PF3QHANH</v>
          </cell>
          <cell r="I185" t="str">
            <v>OK</v>
          </cell>
        </row>
        <row r="186">
          <cell r="B186" t="str">
            <v>PC2DK9QE</v>
          </cell>
          <cell r="I186" t="str">
            <v>OK</v>
          </cell>
        </row>
        <row r="187">
          <cell r="B187" t="str">
            <v>PC1FSK2E</v>
          </cell>
          <cell r="I187" t="str">
            <v>No Mouse</v>
          </cell>
        </row>
        <row r="188">
          <cell r="B188" t="str">
            <v>PC2DV8JJ</v>
          </cell>
          <cell r="I188" t="str">
            <v>No Mouse</v>
          </cell>
        </row>
        <row r="189">
          <cell r="B189" t="str">
            <v>PC2DV8JL</v>
          </cell>
          <cell r="I189" t="str">
            <v>No Mouse, No Adapter</v>
          </cell>
        </row>
        <row r="190">
          <cell r="B190" t="str">
            <v>PC2DV8HL</v>
          </cell>
          <cell r="I190" t="str">
            <v>No Mouse</v>
          </cell>
        </row>
        <row r="191">
          <cell r="B191" t="str">
            <v>PC2DV8MH</v>
          </cell>
          <cell r="I191" t="str">
            <v>No Mouse</v>
          </cell>
        </row>
        <row r="192">
          <cell r="B192" t="str">
            <v>PC2DV8J0</v>
          </cell>
          <cell r="I192" t="str">
            <v>No Mouse, No Adapter</v>
          </cell>
        </row>
        <row r="193">
          <cell r="B193" t="str">
            <v>PC1FSK1N</v>
          </cell>
          <cell r="I193" t="str">
            <v>No Mouse</v>
          </cell>
        </row>
        <row r="194">
          <cell r="B194" t="str">
            <v>PC2DV8MB</v>
          </cell>
          <cell r="I194" t="str">
            <v>No Mouse</v>
          </cell>
        </row>
        <row r="195">
          <cell r="B195" t="str">
            <v>PC2DV8K1</v>
          </cell>
          <cell r="I195" t="str">
            <v>No Mouse</v>
          </cell>
        </row>
        <row r="196">
          <cell r="B196" t="str">
            <v>PC2DV8N1</v>
          </cell>
          <cell r="I196" t="str">
            <v>No Mouse</v>
          </cell>
        </row>
        <row r="197">
          <cell r="B197" t="str">
            <v>PC2DV8HG</v>
          </cell>
          <cell r="I197" t="str">
            <v>No Mouse</v>
          </cell>
        </row>
        <row r="198">
          <cell r="B198" t="str">
            <v>PC2DV8L3</v>
          </cell>
          <cell r="I198" t="str">
            <v>No Mouse</v>
          </cell>
        </row>
        <row r="199">
          <cell r="B199" t="str">
            <v>PC2DV8M3</v>
          </cell>
          <cell r="I199" t="str">
            <v>No Mouse</v>
          </cell>
        </row>
        <row r="200">
          <cell r="B200" t="str">
            <v>PC2DV8K7</v>
          </cell>
          <cell r="I200" t="str">
            <v>No Mouse, No Adapter, No Bag</v>
          </cell>
        </row>
        <row r="201">
          <cell r="B201" t="str">
            <v>PC2AB01T</v>
          </cell>
          <cell r="I201" t="str">
            <v>No Mouse</v>
          </cell>
        </row>
        <row r="202">
          <cell r="B202" t="str">
            <v>PC2DV8JW</v>
          </cell>
          <cell r="I202" t="str">
            <v>No Mouse</v>
          </cell>
        </row>
        <row r="203">
          <cell r="B203" t="str">
            <v>PC2DV8N2</v>
          </cell>
          <cell r="I203" t="str">
            <v>No Mouse</v>
          </cell>
        </row>
        <row r="204">
          <cell r="B204" t="str">
            <v>PC2DV8NV</v>
          </cell>
          <cell r="I204" t="str">
            <v>No Mouse</v>
          </cell>
        </row>
        <row r="205">
          <cell r="B205" t="str">
            <v>PC2E4ZTD</v>
          </cell>
          <cell r="I205" t="str">
            <v>OK</v>
          </cell>
        </row>
        <row r="206">
          <cell r="B206" t="str">
            <v>PC2E4ZV2</v>
          </cell>
          <cell r="I206" t="str">
            <v>OK</v>
          </cell>
        </row>
        <row r="207">
          <cell r="B207" t="str">
            <v>PC2E4ZV8</v>
          </cell>
          <cell r="I207" t="str">
            <v>OK</v>
          </cell>
        </row>
        <row r="208">
          <cell r="B208" t="str">
            <v>PC2E4ZV3</v>
          </cell>
          <cell r="I208" t="str">
            <v>OK</v>
          </cell>
        </row>
        <row r="209">
          <cell r="B209" t="str">
            <v>PF3QJC0P</v>
          </cell>
          <cell r="I209" t="str">
            <v>OK</v>
          </cell>
        </row>
        <row r="210">
          <cell r="B210" t="str">
            <v>PF3QEN0K</v>
          </cell>
          <cell r="I210" t="str">
            <v>OK</v>
          </cell>
        </row>
        <row r="211">
          <cell r="B211" t="str">
            <v>PF3QQTVN</v>
          </cell>
          <cell r="I211" t="str">
            <v>OK</v>
          </cell>
        </row>
        <row r="212">
          <cell r="B212" t="str">
            <v>PC2DV8HF</v>
          </cell>
          <cell r="I212" t="str">
            <v>OK</v>
          </cell>
        </row>
        <row r="213">
          <cell r="B213" t="str">
            <v>PC2E508D</v>
          </cell>
          <cell r="I213" t="str">
            <v>OK</v>
          </cell>
        </row>
        <row r="214">
          <cell r="B214" t="str">
            <v>V5GZM454</v>
          </cell>
          <cell r="I214" t="str">
            <v>No Power code</v>
          </cell>
        </row>
        <row r="215">
          <cell r="B215" t="str">
            <v>PC2E5036</v>
          </cell>
          <cell r="I215" t="str">
            <v>OK</v>
          </cell>
        </row>
        <row r="216">
          <cell r="B216" t="str">
            <v>V5WF3674</v>
          </cell>
          <cell r="I216" t="str">
            <v>OK</v>
          </cell>
        </row>
        <row r="217">
          <cell r="B217" t="str">
            <v>PC2E508L</v>
          </cell>
          <cell r="I217" t="str">
            <v>OK</v>
          </cell>
        </row>
        <row r="218">
          <cell r="B218" t="str">
            <v>V5GZM455</v>
          </cell>
          <cell r="I218" t="str">
            <v>OK</v>
          </cell>
        </row>
        <row r="219">
          <cell r="B219" t="str">
            <v>PC2E5093</v>
          </cell>
          <cell r="I219" t="str">
            <v>OK</v>
          </cell>
        </row>
        <row r="220">
          <cell r="B220" t="str">
            <v>V5GZM453</v>
          </cell>
          <cell r="I220" t="str">
            <v>OK</v>
          </cell>
        </row>
        <row r="221">
          <cell r="B221" t="str">
            <v>PC2E507N</v>
          </cell>
          <cell r="I221" t="str">
            <v>OK</v>
          </cell>
        </row>
        <row r="222">
          <cell r="B222" t="str">
            <v>V5WF2809</v>
          </cell>
          <cell r="I222" t="str">
            <v>OK</v>
          </cell>
        </row>
        <row r="223">
          <cell r="B223" t="str">
            <v>PC2E502V</v>
          </cell>
          <cell r="I223" t="str">
            <v>OK</v>
          </cell>
        </row>
        <row r="224">
          <cell r="B224" t="str">
            <v>V5GZM458</v>
          </cell>
          <cell r="I224" t="str">
            <v>OK</v>
          </cell>
        </row>
        <row r="225">
          <cell r="B225" t="str">
            <v>PC2E505C</v>
          </cell>
          <cell r="I225" t="str">
            <v>OK</v>
          </cell>
        </row>
        <row r="226">
          <cell r="B226" t="str">
            <v>V5NF3044</v>
          </cell>
          <cell r="I226" t="str">
            <v>OK</v>
          </cell>
        </row>
        <row r="227">
          <cell r="B227" t="str">
            <v>PC2E50AS</v>
          </cell>
          <cell r="I227" t="str">
            <v>OK</v>
          </cell>
        </row>
        <row r="228">
          <cell r="B228" t="str">
            <v>V5GZM456</v>
          </cell>
          <cell r="I228" t="str">
            <v>OK</v>
          </cell>
        </row>
        <row r="229">
          <cell r="B229" t="str">
            <v>PC2E502J</v>
          </cell>
          <cell r="I229" t="str">
            <v>OK</v>
          </cell>
        </row>
        <row r="230">
          <cell r="B230" t="str">
            <v>V5GZM457</v>
          </cell>
          <cell r="I230" t="str">
            <v>OK</v>
          </cell>
        </row>
        <row r="231">
          <cell r="B231" t="str">
            <v>PC2E508T</v>
          </cell>
          <cell r="I231" t="str">
            <v>OK</v>
          </cell>
        </row>
        <row r="232">
          <cell r="B232" t="str">
            <v>V5GZM476</v>
          </cell>
          <cell r="I232" t="str">
            <v>OK</v>
          </cell>
        </row>
        <row r="233">
          <cell r="B233" t="str">
            <v>PC2E507T</v>
          </cell>
          <cell r="I233" t="str">
            <v>OK</v>
          </cell>
        </row>
        <row r="234">
          <cell r="B234" t="str">
            <v>V5GZM474</v>
          </cell>
          <cell r="I234" t="str">
            <v>OK</v>
          </cell>
        </row>
        <row r="235">
          <cell r="B235" t="str">
            <v>PF3QQBCQ</v>
          </cell>
          <cell r="I235" t="str">
            <v>OK</v>
          </cell>
        </row>
        <row r="236">
          <cell r="B236" t="str">
            <v>PF3QHSPF</v>
          </cell>
          <cell r="I236" t="str">
            <v>No Adapter</v>
          </cell>
        </row>
        <row r="237">
          <cell r="B237" t="str">
            <v>PF3QQBDS</v>
          </cell>
          <cell r="I237" t="str">
            <v>No Bag</v>
          </cell>
        </row>
        <row r="238">
          <cell r="B238" t="str">
            <v>PF3QET33</v>
          </cell>
          <cell r="I238" t="str">
            <v>No Bag</v>
          </cell>
        </row>
        <row r="239">
          <cell r="B239" t="str">
            <v>PF3QJ7VH</v>
          </cell>
          <cell r="I239" t="str">
            <v>No Bag</v>
          </cell>
        </row>
        <row r="240">
          <cell r="B240" t="str">
            <v>PF3QCD80</v>
          </cell>
          <cell r="I240" t="str">
            <v>OK</v>
          </cell>
        </row>
        <row r="241">
          <cell r="B241" t="str">
            <v>PF3QHWE7</v>
          </cell>
          <cell r="I241" t="str">
            <v>OK</v>
          </cell>
        </row>
        <row r="242">
          <cell r="B242" t="str">
            <v>PF3Q67VS</v>
          </cell>
          <cell r="I242" t="str">
            <v>OK</v>
          </cell>
        </row>
        <row r="243">
          <cell r="B243" t="str">
            <v>PF3QJ38T</v>
          </cell>
          <cell r="I243" t="str">
            <v>OK</v>
          </cell>
        </row>
        <row r="244">
          <cell r="B244" t="str">
            <v>PW048VZ1</v>
          </cell>
          <cell r="I244" t="str">
            <v>OK</v>
          </cell>
        </row>
        <row r="245">
          <cell r="B245" t="str">
            <v>PW048VYN</v>
          </cell>
          <cell r="I245" t="str">
            <v>OK</v>
          </cell>
        </row>
        <row r="246">
          <cell r="B246" t="str">
            <v>PF3QMPX9</v>
          </cell>
          <cell r="I246" t="str">
            <v>OK</v>
          </cell>
        </row>
        <row r="247">
          <cell r="B247" t="str">
            <v>PC2E50AN</v>
          </cell>
          <cell r="I247" t="str">
            <v>OK</v>
          </cell>
        </row>
        <row r="248">
          <cell r="B248" t="str">
            <v>V5GZB972</v>
          </cell>
          <cell r="I248" t="str">
            <v>OK</v>
          </cell>
        </row>
        <row r="249">
          <cell r="B249" t="str">
            <v>PF3QK4YG</v>
          </cell>
          <cell r="I249" t="str">
            <v>OK</v>
          </cell>
        </row>
        <row r="250">
          <cell r="B250" t="str">
            <v>PF3QHT9D</v>
          </cell>
          <cell r="I250" t="str">
            <v>OK</v>
          </cell>
        </row>
        <row r="251">
          <cell r="B251" t="str">
            <v>PF3QHT8P</v>
          </cell>
          <cell r="I251" t="str">
            <v>OK</v>
          </cell>
        </row>
        <row r="252">
          <cell r="B252" t="str">
            <v>GM01MFPD</v>
          </cell>
          <cell r="I252" t="str">
            <v>No Mouse</v>
          </cell>
        </row>
        <row r="253">
          <cell r="B253" t="str">
            <v>GM01MFNL</v>
          </cell>
          <cell r="I253" t="str">
            <v>OK</v>
          </cell>
        </row>
        <row r="254">
          <cell r="B254" t="str">
            <v>PC2E4ZTE</v>
          </cell>
          <cell r="I254" t="str">
            <v>OK</v>
          </cell>
        </row>
        <row r="255">
          <cell r="B255" t="str">
            <v>PC2E4ZTN</v>
          </cell>
          <cell r="I255" t="str">
            <v>OK</v>
          </cell>
        </row>
        <row r="256">
          <cell r="B256" t="str">
            <v>PC2E4ZTP</v>
          </cell>
          <cell r="I256" t="str">
            <v>OK</v>
          </cell>
        </row>
        <row r="257">
          <cell r="B257" t="str">
            <v>PC2E4ZV5</v>
          </cell>
          <cell r="I257" t="str">
            <v>OK</v>
          </cell>
        </row>
        <row r="258">
          <cell r="B258" t="str">
            <v>PC2DV7PH</v>
          </cell>
          <cell r="I258" t="str">
            <v>No Bag, No Mouse, No Adapter</v>
          </cell>
        </row>
        <row r="259">
          <cell r="B259" t="str">
            <v>PC2DV8NF</v>
          </cell>
          <cell r="I259" t="str">
            <v>No Bag, No Mouse, No Adapter</v>
          </cell>
        </row>
        <row r="260">
          <cell r="B260" t="str">
            <v>PC2DV7PF</v>
          </cell>
          <cell r="I260" t="str">
            <v>OK</v>
          </cell>
        </row>
        <row r="261">
          <cell r="B261" t="str">
            <v>PC2DV8KF</v>
          </cell>
          <cell r="I261" t="str">
            <v>OK</v>
          </cell>
        </row>
        <row r="262">
          <cell r="B262" t="str">
            <v>PC2DV8HR</v>
          </cell>
          <cell r="I262" t="str">
            <v>OK</v>
          </cell>
        </row>
        <row r="263">
          <cell r="B263" t="str">
            <v>PC2DV8HH</v>
          </cell>
          <cell r="I263" t="str">
            <v>OK</v>
          </cell>
        </row>
        <row r="264">
          <cell r="B264" t="str">
            <v>PC2DV8HS</v>
          </cell>
          <cell r="I264" t="str">
            <v>No Bag, No Mouse, No Adapter</v>
          </cell>
        </row>
        <row r="265">
          <cell r="B265" t="str">
            <v>GM01MFNK</v>
          </cell>
          <cell r="I265" t="str">
            <v>No Bag, No Mouse, No Adapter</v>
          </cell>
        </row>
        <row r="266">
          <cell r="B266" t="str">
            <v>PC2E4ZVA</v>
          </cell>
          <cell r="I266" t="str">
            <v>OK</v>
          </cell>
        </row>
        <row r="267">
          <cell r="B267" t="str">
            <v>PC2E4ZTA</v>
          </cell>
          <cell r="I267" t="str">
            <v>OK</v>
          </cell>
        </row>
        <row r="268">
          <cell r="B268" t="str">
            <v>PC2E4ZV6</v>
          </cell>
          <cell r="I268" t="str">
            <v>OK</v>
          </cell>
        </row>
        <row r="269">
          <cell r="B269" t="str">
            <v>PC2E4ZTS</v>
          </cell>
          <cell r="I269" t="str">
            <v>OK</v>
          </cell>
        </row>
        <row r="270">
          <cell r="B270" t="str">
            <v>PC2E4ZTT</v>
          </cell>
          <cell r="I270" t="str">
            <v>OK</v>
          </cell>
        </row>
        <row r="271">
          <cell r="B271" t="str">
            <v>PC2DV8KN</v>
          </cell>
          <cell r="I271" t="str">
            <v>OK</v>
          </cell>
        </row>
        <row r="272">
          <cell r="B272" t="str">
            <v>PC2DV8N8</v>
          </cell>
          <cell r="I272" t="str">
            <v>OK</v>
          </cell>
        </row>
        <row r="273">
          <cell r="B273" t="str">
            <v>PC2DV8NP</v>
          </cell>
          <cell r="I273" t="str">
            <v>No Mouse</v>
          </cell>
        </row>
        <row r="274">
          <cell r="B274" t="str">
            <v>PC2DV8M7</v>
          </cell>
          <cell r="I274" t="str">
            <v>OK</v>
          </cell>
        </row>
        <row r="275">
          <cell r="B275" t="str">
            <v>PC2DV8MZ</v>
          </cell>
          <cell r="I275" t="str">
            <v>No Mouse</v>
          </cell>
        </row>
        <row r="276">
          <cell r="B276" t="str">
            <v>PC2E4ZTC</v>
          </cell>
          <cell r="I276" t="str">
            <v>OK</v>
          </cell>
        </row>
        <row r="277">
          <cell r="B277" t="str">
            <v>PC2E4ZTK</v>
          </cell>
          <cell r="I277" t="str">
            <v>OK</v>
          </cell>
        </row>
        <row r="278">
          <cell r="B278" t="str">
            <v>PC2E4ZTB</v>
          </cell>
          <cell r="I278" t="str">
            <v>OK</v>
          </cell>
        </row>
        <row r="279">
          <cell r="B279" t="str">
            <v>PC2E4ZVB</v>
          </cell>
          <cell r="I279" t="str">
            <v>OK</v>
          </cell>
        </row>
        <row r="280">
          <cell r="B280" t="str">
            <v>PC2DV8P0</v>
          </cell>
          <cell r="I280" t="str">
            <v>OK</v>
          </cell>
        </row>
        <row r="281">
          <cell r="B281" t="str">
            <v>PC2DV8NZ</v>
          </cell>
          <cell r="I281" t="str">
            <v>OK</v>
          </cell>
        </row>
        <row r="282">
          <cell r="B282" t="str">
            <v>PC2DV8NJ</v>
          </cell>
          <cell r="I282" t="str">
            <v>No Cable connect Adapter</v>
          </cell>
        </row>
        <row r="283">
          <cell r="B283" t="str">
            <v>PC2DV8HM</v>
          </cell>
          <cell r="I283" t="str">
            <v>OK</v>
          </cell>
        </row>
        <row r="284">
          <cell r="B284" t="str">
            <v>PC1FSK2B</v>
          </cell>
          <cell r="I284" t="str">
            <v>No Adapter</v>
          </cell>
        </row>
        <row r="285">
          <cell r="B285" t="str">
            <v>PF487GD9</v>
          </cell>
          <cell r="I285" t="str">
            <v>OK</v>
          </cell>
        </row>
        <row r="286">
          <cell r="B286" t="str">
            <v>PF3QHDAM</v>
          </cell>
          <cell r="I286" t="str">
            <v>OK</v>
          </cell>
        </row>
        <row r="287">
          <cell r="B287" t="str">
            <v>PF3QHT07</v>
          </cell>
          <cell r="I287" t="str">
            <v>OK</v>
          </cell>
        </row>
        <row r="288">
          <cell r="B288" t="str">
            <v>PF48ETPD</v>
          </cell>
          <cell r="I288" t="str">
            <v>OK</v>
          </cell>
        </row>
        <row r="289">
          <cell r="B289" t="str">
            <v>GM03889G</v>
          </cell>
          <cell r="I289" t="str">
            <v>OK</v>
          </cell>
        </row>
        <row r="290">
          <cell r="B290" t="str">
            <v>GM03889L</v>
          </cell>
          <cell r="I290" t="str">
            <v>OK</v>
          </cell>
        </row>
        <row r="291">
          <cell r="B291" t="str">
            <v>GM0388C2</v>
          </cell>
          <cell r="I291" t="str">
            <v>OK</v>
          </cell>
        </row>
        <row r="292">
          <cell r="B292" t="str">
            <v>GM03889N</v>
          </cell>
          <cell r="I292" t="str">
            <v>OK</v>
          </cell>
        </row>
        <row r="293">
          <cell r="B293" t="str">
            <v>GM0388CM</v>
          </cell>
          <cell r="I293" t="str">
            <v>OK</v>
          </cell>
        </row>
        <row r="294">
          <cell r="B294" t="str">
            <v>GM03889D</v>
          </cell>
          <cell r="I294" t="str">
            <v>OK</v>
          </cell>
        </row>
        <row r="295">
          <cell r="B295" t="str">
            <v>GM03886R</v>
          </cell>
          <cell r="I295" t="str">
            <v>OK</v>
          </cell>
        </row>
        <row r="296">
          <cell r="B296" t="str">
            <v>GM03888Q</v>
          </cell>
          <cell r="I296" t="str">
            <v>OK</v>
          </cell>
        </row>
        <row r="297">
          <cell r="B297" t="str">
            <v>GM038878</v>
          </cell>
          <cell r="I297" t="str">
            <v>OK</v>
          </cell>
        </row>
        <row r="298">
          <cell r="B298" t="str">
            <v>GM038869</v>
          </cell>
          <cell r="I298" t="str">
            <v>OK</v>
          </cell>
        </row>
        <row r="299">
          <cell r="B299" t="str">
            <v>GM03886F</v>
          </cell>
          <cell r="I299" t="str">
            <v>OK</v>
          </cell>
        </row>
        <row r="300">
          <cell r="B300" t="str">
            <v>GM038876</v>
          </cell>
          <cell r="I300" t="str">
            <v>OK</v>
          </cell>
        </row>
        <row r="301">
          <cell r="B301" t="str">
            <v>GM038873</v>
          </cell>
          <cell r="I301" t="str">
            <v>OK</v>
          </cell>
        </row>
        <row r="302">
          <cell r="B302" t="str">
            <v>GM01MFMA</v>
          </cell>
          <cell r="I302" t="str">
            <v>OK</v>
          </cell>
        </row>
        <row r="303">
          <cell r="B303" t="str">
            <v>GM01MFNZ</v>
          </cell>
          <cell r="I303" t="str">
            <v>OK</v>
          </cell>
        </row>
        <row r="304">
          <cell r="B304" t="str">
            <v>GM03888J</v>
          </cell>
          <cell r="I304" t="str">
            <v>No Mouse</v>
          </cell>
        </row>
        <row r="305">
          <cell r="B305" t="str">
            <v>GM03888T</v>
          </cell>
          <cell r="I305" t="str">
            <v>No Mouse</v>
          </cell>
        </row>
        <row r="306">
          <cell r="B306" t="str">
            <v>GM01MFN8</v>
          </cell>
          <cell r="I306" t="str">
            <v>OK</v>
          </cell>
        </row>
        <row r="307">
          <cell r="B307" t="str">
            <v>GM01MFN6</v>
          </cell>
          <cell r="I307" t="str">
            <v>OK</v>
          </cell>
        </row>
        <row r="308">
          <cell r="B308" t="str">
            <v>GM01MFMY</v>
          </cell>
          <cell r="I308" t="str">
            <v>OK</v>
          </cell>
        </row>
        <row r="309">
          <cell r="B309" t="str">
            <v>GM01MFMN</v>
          </cell>
          <cell r="I309" t="str">
            <v>OK</v>
          </cell>
        </row>
        <row r="310">
          <cell r="B310" t="str">
            <v>GM01MFMV</v>
          </cell>
          <cell r="I310" t="str">
            <v>OK</v>
          </cell>
        </row>
        <row r="311">
          <cell r="B311" t="str">
            <v>GM01MFNV</v>
          </cell>
          <cell r="I311" t="str">
            <v>OK</v>
          </cell>
        </row>
        <row r="312">
          <cell r="B312" t="str">
            <v>GM01MFND</v>
          </cell>
          <cell r="I312" t="str">
            <v>OK</v>
          </cell>
        </row>
        <row r="313">
          <cell r="B313" t="str">
            <v>GM01MFNP</v>
          </cell>
          <cell r="I313" t="str">
            <v>OK</v>
          </cell>
        </row>
        <row r="314">
          <cell r="B314" t="str">
            <v>GM01MFNN</v>
          </cell>
          <cell r="I314" t="str">
            <v>OK</v>
          </cell>
        </row>
        <row r="315">
          <cell r="B315" t="str">
            <v>GM01MFNY</v>
          </cell>
          <cell r="I315" t="str">
            <v>OK</v>
          </cell>
        </row>
        <row r="316">
          <cell r="B316" t="str">
            <v>GM03889V</v>
          </cell>
          <cell r="I316" t="str">
            <v>No Mouse</v>
          </cell>
        </row>
        <row r="317">
          <cell r="B317" t="str">
            <v>GM038875</v>
          </cell>
          <cell r="I317" t="str">
            <v>OK</v>
          </cell>
        </row>
        <row r="318">
          <cell r="B318" t="str">
            <v>PF3QHAMP</v>
          </cell>
          <cell r="I318" t="str">
            <v>No Mouse</v>
          </cell>
        </row>
        <row r="319">
          <cell r="B319" t="str">
            <v>GM0388CR</v>
          </cell>
          <cell r="I319" t="str">
            <v>No Mouse</v>
          </cell>
        </row>
        <row r="320">
          <cell r="B320" t="str">
            <v>GM03886Q</v>
          </cell>
          <cell r="I320" t="str">
            <v>No Mouse</v>
          </cell>
        </row>
        <row r="321">
          <cell r="B321" t="str">
            <v>GM03887C</v>
          </cell>
          <cell r="I321" t="str">
            <v>No Mouse</v>
          </cell>
        </row>
        <row r="322">
          <cell r="B322" t="str">
            <v>GM03888S</v>
          </cell>
          <cell r="I322" t="str">
            <v>OK</v>
          </cell>
        </row>
        <row r="323">
          <cell r="B323" t="str">
            <v>PC2DV8HD</v>
          </cell>
          <cell r="I323" t="str">
            <v>OK</v>
          </cell>
        </row>
        <row r="324">
          <cell r="B324" t="str">
            <v>PW050DVP</v>
          </cell>
          <cell r="I324" t="str">
            <v>OK</v>
          </cell>
        </row>
        <row r="325">
          <cell r="B325" t="str">
            <v>PW048VYB</v>
          </cell>
          <cell r="I325" t="str">
            <v>No Mouse</v>
          </cell>
        </row>
        <row r="326">
          <cell r="B326" t="str">
            <v>PF3QJ7F2</v>
          </cell>
          <cell r="I326" t="str">
            <v>OK</v>
          </cell>
        </row>
        <row r="327">
          <cell r="B327" t="str">
            <v>PF3Q3QK0</v>
          </cell>
          <cell r="I327" t="str">
            <v>OK</v>
          </cell>
        </row>
        <row r="328">
          <cell r="B328" t="str">
            <v>GM01MFM9</v>
          </cell>
          <cell r="I328" t="str">
            <v>No Mouse</v>
          </cell>
        </row>
        <row r="329">
          <cell r="B329" t="str">
            <v>GM038868</v>
          </cell>
          <cell r="I329" t="str">
            <v>No Bag</v>
          </cell>
        </row>
        <row r="330">
          <cell r="B330" t="str">
            <v>GM038867</v>
          </cell>
          <cell r="I330" t="str">
            <v>No Bag</v>
          </cell>
        </row>
        <row r="331">
          <cell r="B331" t="str">
            <v>PC2E502F</v>
          </cell>
          <cell r="I331" t="str">
            <v>No Mouse, No Keyboard</v>
          </cell>
        </row>
        <row r="332">
          <cell r="B332" t="str">
            <v>PC2E502K</v>
          </cell>
          <cell r="I332" t="str">
            <v>No Mouse, No Keyboard</v>
          </cell>
        </row>
        <row r="333">
          <cell r="B333" t="str">
            <v>GM0389K5</v>
          </cell>
          <cell r="I333" t="str">
            <v>No Mouse, No Keyboard</v>
          </cell>
        </row>
        <row r="334">
          <cell r="B334" t="str">
            <v>GM021744</v>
          </cell>
          <cell r="I334" t="str">
            <v>No Mouse, No Keyboard</v>
          </cell>
        </row>
        <row r="335">
          <cell r="B335" t="str">
            <v>GM021748</v>
          </cell>
          <cell r="I335" t="str">
            <v>No Mouse, No Keyboard</v>
          </cell>
        </row>
        <row r="336">
          <cell r="B336" t="str">
            <v>GM02173Z</v>
          </cell>
          <cell r="I336" t="str">
            <v>No Mouse, No Keyboard</v>
          </cell>
        </row>
        <row r="337">
          <cell r="B337" t="str">
            <v>GM02173W</v>
          </cell>
          <cell r="I337" t="str">
            <v>No Mouse, No Keyboard</v>
          </cell>
        </row>
        <row r="338">
          <cell r="B338" t="str">
            <v>GM02174D</v>
          </cell>
          <cell r="I338" t="str">
            <v>OK</v>
          </cell>
        </row>
        <row r="339">
          <cell r="B339" t="str">
            <v>GM021745</v>
          </cell>
          <cell r="I339" t="str">
            <v>OK</v>
          </cell>
        </row>
        <row r="340">
          <cell r="B340" t="str">
            <v>GM021742</v>
          </cell>
          <cell r="I340" t="str">
            <v>OK</v>
          </cell>
        </row>
        <row r="341">
          <cell r="B341" t="str">
            <v>GM021746</v>
          </cell>
          <cell r="I341" t="str">
            <v>OK</v>
          </cell>
        </row>
        <row r="342">
          <cell r="B342" t="str">
            <v>GM02173Y</v>
          </cell>
          <cell r="I342" t="str">
            <v>OK</v>
          </cell>
        </row>
        <row r="343">
          <cell r="B343" t="str">
            <v>GM021747</v>
          </cell>
          <cell r="I343" t="str">
            <v>OK</v>
          </cell>
        </row>
        <row r="344">
          <cell r="B344" t="str">
            <v>GM021740</v>
          </cell>
          <cell r="I344" t="str">
            <v>OK</v>
          </cell>
        </row>
        <row r="345">
          <cell r="B345" t="str">
            <v>GM02174C</v>
          </cell>
          <cell r="I345" t="str">
            <v>OK</v>
          </cell>
        </row>
        <row r="346">
          <cell r="B346" t="str">
            <v>GM02174A</v>
          </cell>
          <cell r="I346" t="str">
            <v>OK</v>
          </cell>
        </row>
        <row r="347">
          <cell r="B347" t="str">
            <v>GM021741</v>
          </cell>
          <cell r="I347" t="str">
            <v>OK</v>
          </cell>
        </row>
        <row r="348">
          <cell r="B348" t="str">
            <v>GM021749</v>
          </cell>
          <cell r="I348" t="str">
            <v>OK</v>
          </cell>
        </row>
        <row r="349">
          <cell r="B349" t="str">
            <v>GM021743</v>
          </cell>
          <cell r="I349" t="str">
            <v>No Mouse, No Keyboard</v>
          </cell>
        </row>
        <row r="350">
          <cell r="B350" t="str">
            <v>PC2DV8K9</v>
          </cell>
          <cell r="I350" t="str">
            <v>OK</v>
          </cell>
        </row>
        <row r="351">
          <cell r="B351" t="str">
            <v>PC2DV8NQ</v>
          </cell>
          <cell r="I351" t="str">
            <v>OK</v>
          </cell>
        </row>
        <row r="352">
          <cell r="B352" t="str">
            <v>PC2DV8K5</v>
          </cell>
          <cell r="I352" t="str">
            <v>OK</v>
          </cell>
        </row>
        <row r="353">
          <cell r="B353" t="str">
            <v>PC2DV8LE</v>
          </cell>
          <cell r="I353" t="str">
            <v>No Mouse</v>
          </cell>
        </row>
        <row r="354">
          <cell r="B354" t="str">
            <v>PC2DV8P1</v>
          </cell>
          <cell r="I354" t="str">
            <v>No Mouse</v>
          </cell>
        </row>
        <row r="355">
          <cell r="B355" t="str">
            <v>PC2DV8LL</v>
          </cell>
          <cell r="I355" t="str">
            <v>No Mouse</v>
          </cell>
        </row>
        <row r="356">
          <cell r="B356" t="str">
            <v>PW050DST</v>
          </cell>
          <cell r="I356" t="str">
            <v>No Mouse</v>
          </cell>
        </row>
        <row r="357">
          <cell r="B357" t="str">
            <v>PW050DT4</v>
          </cell>
          <cell r="I357" t="str">
            <v>No Mouse</v>
          </cell>
        </row>
        <row r="358">
          <cell r="B358" t="str">
            <v>GM03CD4W</v>
          </cell>
          <cell r="I358" t="str">
            <v>OK</v>
          </cell>
        </row>
        <row r="359">
          <cell r="B359" t="str">
            <v>GM03CD4Y</v>
          </cell>
          <cell r="I359" t="str">
            <v>OK</v>
          </cell>
        </row>
        <row r="360">
          <cell r="B360" t="str">
            <v>GM03CD53</v>
          </cell>
          <cell r="I360" t="str">
            <v>OK</v>
          </cell>
        </row>
        <row r="361">
          <cell r="B361" t="str">
            <v>PW05KJSQ</v>
          </cell>
          <cell r="I361" t="str">
            <v>OK</v>
          </cell>
        </row>
        <row r="362">
          <cell r="B362" t="str">
            <v>PW048VY2</v>
          </cell>
          <cell r="I362" t="str">
            <v>No Mouse</v>
          </cell>
        </row>
        <row r="363">
          <cell r="B363" t="str">
            <v>PW050DWF</v>
          </cell>
          <cell r="I363" t="str">
            <v>OK</v>
          </cell>
        </row>
        <row r="364">
          <cell r="B364" t="str">
            <v>PW050DVY</v>
          </cell>
          <cell r="I364" t="str">
            <v>OK</v>
          </cell>
        </row>
        <row r="365">
          <cell r="B365" t="str">
            <v>PW050DT8</v>
          </cell>
          <cell r="I365" t="str">
            <v>OK</v>
          </cell>
        </row>
        <row r="366">
          <cell r="B366" t="str">
            <v>PW050DTT</v>
          </cell>
          <cell r="I366" t="str">
            <v>OK</v>
          </cell>
        </row>
        <row r="367">
          <cell r="B367" t="str">
            <v>PW050DVW</v>
          </cell>
          <cell r="I367" t="str">
            <v>OK</v>
          </cell>
        </row>
        <row r="368">
          <cell r="B368" t="str">
            <v>PW050DVG</v>
          </cell>
          <cell r="I368" t="str">
            <v>OK</v>
          </cell>
        </row>
        <row r="369">
          <cell r="B369" t="str">
            <v>PW050DTN</v>
          </cell>
          <cell r="I369" t="str">
            <v>OK</v>
          </cell>
        </row>
        <row r="370">
          <cell r="B370" t="str">
            <v>PW050DYQ</v>
          </cell>
          <cell r="I370" t="str">
            <v>OK</v>
          </cell>
        </row>
        <row r="371">
          <cell r="B371" t="str">
            <v>PW050DYW</v>
          </cell>
          <cell r="I371" t="str">
            <v>OK</v>
          </cell>
        </row>
        <row r="372">
          <cell r="B372" t="str">
            <v>PW05KJS4</v>
          </cell>
          <cell r="I372" t="str">
            <v>OK</v>
          </cell>
        </row>
        <row r="373">
          <cell r="B373" t="str">
            <v>PW050DV3</v>
          </cell>
          <cell r="I373" t="str">
            <v>OK</v>
          </cell>
        </row>
        <row r="374">
          <cell r="B374" t="str">
            <v>PW050DVS</v>
          </cell>
          <cell r="I374" t="str">
            <v>No Mouse</v>
          </cell>
        </row>
        <row r="375">
          <cell r="B375" t="str">
            <v>PW050DWE</v>
          </cell>
          <cell r="I375" t="str">
            <v>OK</v>
          </cell>
        </row>
        <row r="376">
          <cell r="B376" t="str">
            <v>PW05KJSV</v>
          </cell>
          <cell r="I376" t="str">
            <v>OK</v>
          </cell>
        </row>
        <row r="377">
          <cell r="B377" t="str">
            <v>PW050DZ2</v>
          </cell>
          <cell r="I377" t="str">
            <v>No Adapter</v>
          </cell>
        </row>
        <row r="378">
          <cell r="B378" t="str">
            <v>PW050DV5</v>
          </cell>
          <cell r="I378" t="str">
            <v>OK</v>
          </cell>
        </row>
        <row r="379">
          <cell r="B379" t="str">
            <v>PW050DWC</v>
          </cell>
          <cell r="I379" t="str">
            <v>OK</v>
          </cell>
        </row>
        <row r="380">
          <cell r="B380" t="str">
            <v>PW050DWL</v>
          </cell>
          <cell r="I380" t="str">
            <v>OK</v>
          </cell>
        </row>
        <row r="381">
          <cell r="B381" t="str">
            <v>PW050DT9</v>
          </cell>
          <cell r="I381" t="str">
            <v>OK</v>
          </cell>
        </row>
        <row r="382">
          <cell r="B382" t="str">
            <v>PW050DSV</v>
          </cell>
          <cell r="I382" t="str">
            <v>OK</v>
          </cell>
        </row>
        <row r="383">
          <cell r="B383" t="str">
            <v>PW050DW5</v>
          </cell>
          <cell r="I383" t="str">
            <v>OK</v>
          </cell>
        </row>
        <row r="384">
          <cell r="B384" t="str">
            <v>PW050DYH</v>
          </cell>
          <cell r="I384" t="str">
            <v>No Mouse</v>
          </cell>
        </row>
        <row r="385">
          <cell r="B385" t="str">
            <v>PW050DVH</v>
          </cell>
          <cell r="I385" t="str">
            <v>OK</v>
          </cell>
        </row>
        <row r="386">
          <cell r="B386" t="str">
            <v>PW050DTM</v>
          </cell>
          <cell r="I386" t="str">
            <v>OK</v>
          </cell>
        </row>
        <row r="387">
          <cell r="B387" t="str">
            <v>PW050DXR</v>
          </cell>
          <cell r="I387" t="str">
            <v>No Mouse</v>
          </cell>
        </row>
        <row r="388">
          <cell r="B388" t="str">
            <v>PW050DWK</v>
          </cell>
          <cell r="I388" t="str">
            <v>OK</v>
          </cell>
        </row>
        <row r="389">
          <cell r="B389" t="str">
            <v>PW050DX9</v>
          </cell>
          <cell r="I389" t="str">
            <v>No Mouse</v>
          </cell>
        </row>
        <row r="390">
          <cell r="B390" t="str">
            <v>PW050DZD</v>
          </cell>
          <cell r="I390" t="str">
            <v>OK</v>
          </cell>
        </row>
        <row r="391">
          <cell r="B391" t="str">
            <v>PW05KJT8</v>
          </cell>
          <cell r="I391" t="str">
            <v>OK</v>
          </cell>
        </row>
        <row r="392">
          <cell r="B392" t="str">
            <v>PW050DZ8</v>
          </cell>
          <cell r="I392" t="str">
            <v>OK</v>
          </cell>
        </row>
        <row r="393">
          <cell r="B393" t="str">
            <v>PW050DXT</v>
          </cell>
          <cell r="I393" t="str">
            <v>OK</v>
          </cell>
        </row>
        <row r="394">
          <cell r="B394" t="str">
            <v>PW050DWM</v>
          </cell>
          <cell r="I394" t="str">
            <v>OK</v>
          </cell>
        </row>
        <row r="395">
          <cell r="B395" t="str">
            <v>PW050DVF</v>
          </cell>
          <cell r="I395" t="str">
            <v>OK</v>
          </cell>
        </row>
        <row r="396">
          <cell r="B396" t="str">
            <v>PW050DWT</v>
          </cell>
          <cell r="I396" t="str">
            <v>OK</v>
          </cell>
        </row>
        <row r="397">
          <cell r="B397" t="str">
            <v>PW050DWQ</v>
          </cell>
          <cell r="I397" t="str">
            <v>OK</v>
          </cell>
        </row>
        <row r="398">
          <cell r="B398" t="str">
            <v>PW050DXV</v>
          </cell>
          <cell r="I398" t="str">
            <v>No Bag</v>
          </cell>
        </row>
        <row r="399">
          <cell r="B399" t="str">
            <v>PW050DTL</v>
          </cell>
          <cell r="I399" t="str">
            <v>No Bag, No Adapter</v>
          </cell>
        </row>
        <row r="400">
          <cell r="B400" t="str">
            <v>PF487JLA</v>
          </cell>
          <cell r="I400" t="str">
            <v>OK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atcha Wasasiri" refreshedDate="46120.688740046295" createdVersion="8" refreshedVersion="8" minRefreshableVersion="3" recordCount="225" xr:uid="{E3319527-A2CA-4934-8ACB-18CE66170E71}">
  <cacheSource type="worksheet">
    <worksheetSource name="Table1"/>
  </cacheSource>
  <cacheFields count="19">
    <cacheField name="Legal Entity Name" numFmtId="0">
      <sharedItems/>
    </cacheField>
    <cacheField name="Deal" numFmtId="0">
      <sharedItems/>
    </cacheField>
    <cacheField name="ARS" numFmtId="0">
      <sharedItems/>
    </cacheField>
    <cacheField name="Billing Term" numFmtId="0">
      <sharedItems containsSemiMixedTypes="0" containsString="0" containsNumber="1" containsInteger="1" minValue="36" maxValue="36"/>
    </cacheField>
    <cacheField name="Tranche ID" numFmtId="0">
      <sharedItems/>
    </cacheField>
    <cacheField name="Tranche Start Date" numFmtId="188">
      <sharedItems containsSemiMixedTypes="0" containsNonDate="0" containsDate="1" containsString="0" minDate="2023-04-01T00:00:00" maxDate="2023-05-02T00:00:00"/>
    </cacheField>
    <cacheField name="Tranche End Date" numFmtId="188">
      <sharedItems containsSemiMixedTypes="0" containsNonDate="0" containsDate="1" containsString="0" minDate="2026-03-31T00:00:00" maxDate="2026-05-01T00:00:00"/>
    </cacheField>
    <cacheField name="Units" numFmtId="0">
      <sharedItems containsSemiMixedTypes="0" containsString="0" containsNumber="1" containsInteger="1" minValue="1" maxValue="1"/>
    </cacheField>
    <cacheField name="Part Number" numFmtId="0">
      <sharedItems containsBlank="1"/>
    </cacheField>
    <cacheField name="Product Description" numFmtId="0">
      <sharedItems/>
    </cacheField>
    <cacheField name="Device Status" numFmtId="0">
      <sharedItems/>
    </cacheField>
    <cacheField name="Serial Number" numFmtId="0">
      <sharedItems/>
    </cacheField>
    <cacheField name="Monthly Unit Price" numFmtId="187">
      <sharedItems containsString="0" containsBlank="1" containsNumber="1" minValue="918.72000000000014" maxValue="918.72000000000014"/>
    </cacheField>
    <cacheField name="EOL Status " numFmtId="0">
      <sharedItems/>
    </cacheField>
    <cacheField name="Collection City (Required)" numFmtId="0">
      <sharedItems count="15">
        <s v="The ParQ"/>
        <s v="AVANI Pattaya Resort &amp; Spa"/>
        <s v="Minor Dairy Limited"/>
        <s v="Anantara Vacation Club Phuket"/>
        <s v="Anantara Siam Bangkok Hotel"/>
        <s v="NMT LIMITED "/>
        <s v="Anantara Layan Phuket Resort"/>
        <s v="Anantara Riverside Bangkok Resort"/>
        <s v="Avani Pattaya Resort&amp;Spa(Machine for Royal Garden )"/>
        <s v="SCOMADI (Thailand) Co., Ltd."/>
        <s v="Anantara Maikhao Phuket Villas"/>
        <s v="Avani+ Riverside Bangkok Hotel"/>
        <s v="AVANI Hua Hin Resort &amp; Villas"/>
        <s v="Art of Baking Co.,Ltd"/>
        <s v="Riverside Plaza" u="1"/>
      </sharedItems>
    </cacheField>
    <cacheField name="Final Confirmation-Return Request date" numFmtId="0">
      <sharedItems containsNonDate="0" containsString="0" containsBlank="1"/>
    </cacheField>
    <cacheField name="Remarks If any" numFmtId="0">
      <sharedItems containsNonDate="0" containsString="0" containsBlank="1"/>
    </cacheField>
    <cacheField name="Device Status EOT " numFmtId="0">
      <sharedItems containsNonDate="0" containsString="0" containsBlank="1"/>
    </cacheField>
    <cacheField name="Billing Terminated Da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ie DN1 Fu" refreshedDate="46136.527739930556" backgroundQuery="1" createdVersion="8" refreshedVersion="8" minRefreshableVersion="3" recordCount="0" supportSubquery="1" supportAdvancedDrill="1" xr:uid="{6C4102FF-2175-4198-B7EC-2350721DD36C}">
  <cacheSource type="external" connectionId="1"/>
  <cacheFields count="3">
    <cacheField name="[Measures].[Count of Serial Number]" caption="Count of Serial Number" numFmtId="0" hierarchy="24" level="32767"/>
    <cacheField name="[Table1].[Collection City (Required)].[Collection City (Required)]" caption="Collection City (Required)" numFmtId="0" hierarchy="14" level="1">
      <sharedItems count="10">
        <s v="Anantara Layan Phuket Resort"/>
        <s v="Anantara Maikhao Phuket Villas"/>
        <s v="Anantara Vacation Club Phuket"/>
        <s v="Art of Baking Co.,Ltd"/>
        <s v="AVANI Hua Hin Resort &amp; Villas"/>
        <s v="AVANI Pattaya Resort &amp; Spa"/>
        <s v="Avani Pattaya Resort&amp;Spa(Machine for Royal Garden )"/>
        <s v="Minor Dairy Limited"/>
        <s v="NMT LIMITED"/>
        <s v="SCOMADI (Thailand) Co., Ltd."/>
      </sharedItems>
    </cacheField>
    <cacheField name="[Table1].[Collection Handle by].[Collection Handle by]" caption="Collection Handle by" numFmtId="0" hierarchy="15" level="1">
      <sharedItems containsSemiMixedTypes="0" containsNonDate="0" containsString="0"/>
    </cacheField>
  </cacheFields>
  <cacheHierarchies count="25">
    <cacheHierarchy uniqueName="[Table1].[Legal Entity Name]" caption="Legal Entity Name" attribute="1" defaultMemberUniqueName="[Table1].[Legal Entity Name].[All]" allUniqueName="[Table1].[Legal Entity Name].[All]" dimensionUniqueName="[Table1]" displayFolder="" count="0" memberValueDatatype="130" unbalanced="0"/>
    <cacheHierarchy uniqueName="[Table1].[Deal]" caption="Deal" attribute="1" defaultMemberUniqueName="[Table1].[Deal].[All]" allUniqueName="[Table1].[Deal].[All]" dimensionUniqueName="[Table1]" displayFolder="" count="0" memberValueDatatype="130" unbalanced="0"/>
    <cacheHierarchy uniqueName="[Table1].[ARS]" caption="ARS" attribute="1" defaultMemberUniqueName="[Table1].[ARS].[All]" allUniqueName="[Table1].[ARS].[All]" dimensionUniqueName="[Table1]" displayFolder="" count="0" memberValueDatatype="130" unbalanced="0"/>
    <cacheHierarchy uniqueName="[Table1].[Billing Term]" caption="Billing Term" attribute="1" defaultMemberUniqueName="[Table1].[Billing Term].[All]" allUniqueName="[Table1].[Billing Term].[All]" dimensionUniqueName="[Table1]" displayFolder="" count="0" memberValueDatatype="20" unbalanced="0"/>
    <cacheHierarchy uniqueName="[Table1].[Tranche ID]" caption="Tranche ID" attribute="1" defaultMemberUniqueName="[Table1].[Tranche ID].[All]" allUniqueName="[Table1].[Tranche ID].[All]" dimensionUniqueName="[Table1]" displayFolder="" count="0" memberValueDatatype="130" unbalanced="0"/>
    <cacheHierarchy uniqueName="[Table1].[Tranche Start Date]" caption="Tranche Start Date" attribute="1" time="1" defaultMemberUniqueName="[Table1].[Tranche Start Date].[All]" allUniqueName="[Table1].[Tranche Start Date].[All]" dimensionUniqueName="[Table1]" displayFolder="" count="0" memberValueDatatype="7" unbalanced="0"/>
    <cacheHierarchy uniqueName="[Table1].[Tranche End Date]" caption="Tranche End Date" attribute="1" time="1" defaultMemberUniqueName="[Table1].[Tranche End Date].[All]" allUniqueName="[Table1].[Tranche End Date].[All]" dimensionUniqueName="[Table1]" displayFolder="" count="0" memberValueDatatype="7" unbalanced="0"/>
    <cacheHierarchy uniqueName="[Table1].[Units]" caption="Units" attribute="1" defaultMemberUniqueName="[Table1].[Units].[All]" allUniqueName="[Table1].[Units].[All]" dimensionUniqueName="[Table1]" displayFolder="" count="0" memberValueDatatype="20" unbalanced="0"/>
    <cacheHierarchy uniqueName="[Table1].[Part Number]" caption="Part Number" attribute="1" defaultMemberUniqueName="[Table1].[Part Number].[All]" allUniqueName="[Table1].[Part Number].[All]" dimensionUniqueName="[Table1]" displayFolder="" count="0" memberValueDatatype="130" unbalanced="0"/>
    <cacheHierarchy uniqueName="[Table1].[Product Description]" caption="Product Description" attribute="1" defaultMemberUniqueName="[Table1].[Product Description].[All]" allUniqueName="[Table1].[Product Description].[All]" dimensionUniqueName="[Table1]" displayFolder="" count="0" memberValueDatatype="130" unbalanced="0"/>
    <cacheHierarchy uniqueName="[Table1].[Device Status]" caption="Device Status" attribute="1" defaultMemberUniqueName="[Table1].[Device Status].[All]" allUniqueName="[Table1].[Device Status].[All]" dimensionUniqueName="[Table1]" displayFolder="" count="0" memberValueDatatype="130" unbalanced="0"/>
    <cacheHierarchy uniqueName="[Table1].[Serial Number]" caption="Serial Number" attribute="1" defaultMemberUniqueName="[Table1].[Serial Number].[All]" allUniqueName="[Table1].[Serial Number].[All]" dimensionUniqueName="[Table1]" displayFolder="" count="0" memberValueDatatype="130" unbalanced="0"/>
    <cacheHierarchy uniqueName="[Table1].[Monthly Unit Price]" caption="Monthly Unit Price" attribute="1" defaultMemberUniqueName="[Table1].[Monthly Unit Price].[All]" allUniqueName="[Table1].[Monthly Unit Price].[All]" dimensionUniqueName="[Table1]" displayFolder="" count="0" memberValueDatatype="5" unbalanced="0"/>
    <cacheHierarchy uniqueName="[Table1].[EOL Status]" caption="EOL Status" attribute="1" defaultMemberUniqueName="[Table1].[EOL Status].[All]" allUniqueName="[Table1].[EOL Status].[All]" dimensionUniqueName="[Table1]" displayFolder="" count="0" memberValueDatatype="130" unbalanced="0"/>
    <cacheHierarchy uniqueName="[Table1].[Collection City (Required)]" caption="Collection City (Required)" attribute="1" defaultMemberUniqueName="[Table1].[Collection City (Required)].[All]" allUniqueName="[Table1].[Collection City (Required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ollection Handle by]" caption="Collection Handle by" attribute="1" defaultMemberUniqueName="[Table1].[Collection Handle by].[All]" allUniqueName="[Table1].[Collection Handle b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Confirmed Collection City]" caption="Confirmed Collection City" attribute="1" defaultMemberUniqueName="[Table1].[Confirmed Collection City].[All]" allUniqueName="[Table1].[Confirmed Collection City].[All]" dimensionUniqueName="[Table1]" displayFolder="" count="0" memberValueDatatype="130" unbalanced="0"/>
    <cacheHierarchy uniqueName="[Table1].[Option Checking]" caption="Option Checking" attribute="1" defaultMemberUniqueName="[Table1].[Option Checking].[All]" allUniqueName="[Table1].[Option Checking].[All]" dimensionUniqueName="[Table1]" displayFolder="" count="0" memberValueDatatype="130" unbalanced="0"/>
    <cacheHierarchy uniqueName="[Table1].[Appointed Collecion Date]" caption="Appointed Collecion Date" attribute="1" defaultMemberUniqueName="[Table1].[Appointed Collecion Date].[All]" allUniqueName="[Table1].[Appointed Collecion Date].[All]" dimensionUniqueName="[Table1]" displayFolder="" count="0" memberValueDatatype="130" unbalanced="0"/>
    <cacheHierarchy uniqueName="[Table1].[Remark]" caption="Remark" attribute="1" defaultMemberUniqueName="[Table1].[Remark].[All]" allUniqueName="[Table1].[Remark].[All]" dimensionUniqueName="[Table1]" displayFolder="" count="0" memberValueDatatype="130" unbalanced="0"/>
    <cacheHierarchy uniqueName="[Table1].[Billing Terminated Date]" caption="Billing Terminated Date" attribute="1" defaultMemberUniqueName="[Table1].[Billing Terminated Date].[All]" allUniqueName="[Table1].[Billing Terminated Dat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erial Number]" caption="Count of Serial Number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s v="Minor Hotel Group "/>
    <s v="LILO"/>
    <s v="Yes"/>
    <n v="36"/>
    <s v="006-0000025-000"/>
    <d v="2023-05-01T00:00:00"/>
    <d v="2026-04-30T00:00:00"/>
    <n v="1"/>
    <s v="20XXSC8C00"/>
    <s v="T14s Gen 3"/>
    <s v="Active"/>
    <s v="GM038872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AP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E00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BC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J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TKX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Z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F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7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Y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V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Z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E03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6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C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4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V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E08"/>
    <m/>
    <s v="Return"/>
    <x v="1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Z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7P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K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4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SW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TN5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X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S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J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B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TMA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B1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9Y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7T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 Gen 3"/>
    <s v="Active"/>
    <s v="PF489283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8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TNX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T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 Gen 3"/>
    <s v="Active"/>
    <s v="PF487E32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V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K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6W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 Gen 3"/>
    <s v="Active"/>
    <s v="PF487JLA"/>
    <m/>
    <s v="Return"/>
    <x v="2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SZ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 Gen 3"/>
    <s v="Active"/>
    <s v="PF487E3M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Z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6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3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0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C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X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N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1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R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 Gen 3"/>
    <s v="Active"/>
    <s v="PF487E14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89K1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51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89KD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5F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62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5P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89KL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T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5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8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S"/>
    <m/>
    <s v="Return"/>
    <x v="4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A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G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F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P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8L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 Gen 3"/>
    <s v="Active"/>
    <s v="PF487BR7"/>
    <m/>
    <s v="Return"/>
    <x v="5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G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2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8P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E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TML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X"/>
    <m/>
    <s v="Return"/>
    <x v="6"/>
    <m/>
    <m/>
    <m/>
    <m/>
  </r>
  <r>
    <s v="Minor Hotel Group "/>
    <s v="LILO"/>
    <s v="Yes"/>
    <n v="36"/>
    <s v="006-0000025-000"/>
    <d v="2023-05-01T00:00:00"/>
    <d v="2026-04-30T00:00:00"/>
    <n v="1"/>
    <m/>
    <s v="T14 Gen 3"/>
    <s v="Active"/>
    <s v="PF487JKM"/>
    <m/>
    <s v="Return"/>
    <x v="7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B"/>
    <m/>
    <s v="Return"/>
    <x v="8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A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A"/>
    <m/>
    <s v="Return"/>
    <x v="7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89KC"/>
    <m/>
    <s v="Return"/>
    <x v="8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89KM"/>
    <m/>
    <s v="Return"/>
    <x v="8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E"/>
    <m/>
    <s v="Return"/>
    <x v="9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B"/>
    <m/>
    <s v="Return"/>
    <x v="8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H"/>
    <m/>
    <s v="Return"/>
    <x v="9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A"/>
    <m/>
    <s v="Return"/>
    <x v="9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F"/>
    <m/>
    <s v="Return"/>
    <x v="1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Y"/>
    <m/>
    <s v="Return"/>
    <x v="1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4S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5S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5X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60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89KF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89L7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5Q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89KB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61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66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5R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7B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63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M90a Gen 3"/>
    <s v="Active"/>
    <s v="GM03CD68"/>
    <m/>
    <s v="Return"/>
    <x v="3"/>
    <m/>
    <m/>
    <m/>
    <m/>
  </r>
  <r>
    <s v="Minor Hotel Group "/>
    <s v="LILO"/>
    <s v="Yes"/>
    <n v="36"/>
    <s v="006-0000025-000"/>
    <d v="2023-05-01T00:00:00"/>
    <d v="2026-04-30T00:00:00"/>
    <n v="1"/>
    <m/>
    <s v="T14 Gen 3"/>
    <s v="Active"/>
    <s v="PF487E0C"/>
    <m/>
    <s v="Return"/>
    <x v="7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86"/>
    <m/>
    <s v="Return"/>
    <x v="6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BG"/>
    <m/>
    <s v="Return"/>
    <x v="6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9A"/>
    <m/>
    <s v="Return"/>
    <x v="10"/>
    <m/>
    <m/>
    <m/>
    <m/>
  </r>
  <r>
    <s v="Minor Hotel Group "/>
    <s v="LILO"/>
    <s v="Yes"/>
    <n v="36"/>
    <s v="006-0000025-000"/>
    <d v="2023-05-01T00:00:00"/>
    <d v="2026-04-30T00:00:00"/>
    <n v="1"/>
    <m/>
    <s v="M70a"/>
    <s v="Active"/>
    <s v="PC2E4ZTW"/>
    <m/>
    <s v="Return"/>
    <x v="11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W"/>
    <m/>
    <s v="Return"/>
    <x v="11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D"/>
    <m/>
    <s v="Return"/>
    <x v="6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A9"/>
    <m/>
    <s v="Return"/>
    <x v="6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TMZ"/>
    <m/>
    <s v="Return"/>
    <x v="6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N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C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WXJ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J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7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AH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E09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L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Y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E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6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D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BJ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CL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M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X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3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9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Q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D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8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0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V9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YR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TLC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SX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T14s Gen 3"/>
    <s v="Active"/>
    <s v="GM03887D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0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XQ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E07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Z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E06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Z42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TV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X1 Carbon 10th Gen (Non-touch)"/>
    <s v="Active"/>
    <s v="PF48EWZ1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7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ZB"/>
    <m/>
    <s v="Return"/>
    <x v="0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J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4C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R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6G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AA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5L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6J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5A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L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3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C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6M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5P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6T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2Z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3P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A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25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28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2Y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2D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S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B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26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62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5X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6C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0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69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5K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5F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31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3A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2N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78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M70q"/>
    <s v="Active"/>
    <s v="PC2E509K"/>
    <m/>
    <s v="Return"/>
    <x v="12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KJS4"/>
    <m/>
    <s v="Return"/>
    <x v="13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KJSV"/>
    <m/>
    <s v="Return"/>
    <x v="13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KJT8"/>
    <m/>
    <s v="Return"/>
    <x v="13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KJSQ"/>
    <m/>
    <s v="Return"/>
    <x v="13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G"/>
    <m/>
    <s v="Return"/>
    <x v="9"/>
    <m/>
    <m/>
    <m/>
    <m/>
  </r>
  <r>
    <s v="Minor Hotel Group "/>
    <s v="LILO"/>
    <s v="Yes"/>
    <n v="36"/>
    <s v="006-0000025-000"/>
    <d v="2023-05-01T00:00:00"/>
    <d v="2026-04-30T00:00:00"/>
    <n v="1"/>
    <m/>
    <s v="L14 Gen 3"/>
    <s v="Active"/>
    <s v="PW050DW9"/>
    <m/>
    <s v="Return"/>
    <x v="9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48VY2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XR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VF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T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V3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K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XT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VS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5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TL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M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T9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Z8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TN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YH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XV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YQ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E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Z2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VG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SV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F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ZD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C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TM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L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X9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TT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VW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VY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WQ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T8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V5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YW"/>
    <n v="918.72000000000014"/>
    <s v="Return"/>
    <x v="13"/>
    <m/>
    <m/>
    <m/>
    <m/>
  </r>
  <r>
    <s v="Minor Hotel Group "/>
    <s v="LILO"/>
    <s v="Yes"/>
    <n v="36"/>
    <s v="006-0000023-000"/>
    <d v="2023-04-01T00:00:00"/>
    <d v="2026-03-31T00:00:00"/>
    <n v="1"/>
    <s v="21C2S4E800"/>
    <s v="Notebook ThinkPad L14 Gen3 CPU Gen 12 IRIS Graphic RAM 16GB"/>
    <s v="Active"/>
    <s v="PW050DVH"/>
    <n v="918.72000000000014"/>
    <s v="Return"/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FDA7D-2772-407D-BC04-1B914A1333F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3">
    <pivotField dataField="1" subtotalTop="0" showAll="0" defaultSubtotal="0"/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15" name="[Table1].[Collection Handle by].&amp;[CC]" cap="CC"/>
  </pageFields>
  <dataFields count="1">
    <dataField name="Count of Serial Number"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inor Hotel - EOL notification for Apr 26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7F0A1-08FD-4DD2-B380-7ABC7A58FB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9">
    <pivotField showAll="0"/>
    <pivotField showAll="0"/>
    <pivotField showAll="0"/>
    <pivotField showAll="0"/>
    <pivotField showAll="0"/>
    <pivotField numFmtId="188" showAll="0"/>
    <pivotField numFmtId="188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6">
        <item x="6"/>
        <item x="10"/>
        <item x="7"/>
        <item x="4"/>
        <item x="3"/>
        <item x="13"/>
        <item x="12"/>
        <item x="1"/>
        <item x="8"/>
        <item x="11"/>
        <item x="2"/>
        <item x="5"/>
        <item m="1" x="14"/>
        <item x="9"/>
        <item x="0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 t="grand">
      <x/>
    </i>
  </rowItems>
  <colItems count="1">
    <i/>
  </colItems>
  <dataFields count="1">
    <dataField name="Count of Serial Number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7E388-5F66-441F-AEB4-9103D9D5ACB4}" name="Table1" displayName="Table1" ref="A1:V226" totalsRowShown="0" headerRowDxfId="34" dataDxfId="32" headerRowBorderDxfId="33" tableBorderDxfId="31" totalsRowBorderDxfId="30">
  <autoFilter ref="A1:V226" xr:uid="{7C6E667E-A8FA-4C5D-ABB2-0B76E394144E}">
    <filterColumn colId="15">
      <filters>
        <filter val="CC"/>
      </filters>
    </filterColumn>
  </autoFilter>
  <tableColumns count="22">
    <tableColumn id="1" xr3:uid="{543D2E65-FD9F-40B7-A724-CA633396FE4A}" name="Legal Entity Name" dataDxfId="29"/>
    <tableColumn id="2" xr3:uid="{5EAF0D9D-439F-4752-AA0D-E06CF8885F7C}" name="Deal" dataDxfId="28"/>
    <tableColumn id="3" xr3:uid="{713774BC-3DC7-429B-94C5-6C229954658D}" name="ARS" dataDxfId="27"/>
    <tableColumn id="4" xr3:uid="{7A866CA2-7E14-49B5-B42D-F909D01ACC2D}" name="Billing Term" dataDxfId="26"/>
    <tableColumn id="5" xr3:uid="{B0B52A96-3CEA-4C1B-8F3E-938D45037591}" name="Tranche ID" dataDxfId="25"/>
    <tableColumn id="6" xr3:uid="{16C8D3A2-B8F8-47AE-9619-2FF4711E3B7E}" name="Tranche Start Date" dataDxfId="24"/>
    <tableColumn id="7" xr3:uid="{A5541543-3F14-4BCA-AD62-845F39A8727F}" name="Tranche End Date" dataDxfId="23">
      <calculatedColumnFormula>EDATE(F2,36)-1</calculatedColumnFormula>
    </tableColumn>
    <tableColumn id="8" xr3:uid="{58EBE9F2-003A-4D87-8662-73634CCB1C09}" name="Units" dataDxfId="22"/>
    <tableColumn id="9" xr3:uid="{85B7774F-5E9B-4D6B-A956-700B4C60646C}" name="Part Number" dataDxfId="21"/>
    <tableColumn id="10" xr3:uid="{AE0933D0-B097-4122-91D6-19FF48486F35}" name="Product Description" dataDxfId="20"/>
    <tableColumn id="11" xr3:uid="{98C70E99-124D-4852-90B2-23EF9D294891}" name="Device Status" dataDxfId="19"/>
    <tableColumn id="12" xr3:uid="{5D7CF467-4B5B-43B5-BBE9-A1DA94DEEFB9}" name="Serial Number" dataDxfId="18"/>
    <tableColumn id="13" xr3:uid="{2437C683-B114-48BE-AADF-F827D00B8D6A}" name="Monthly Unit Price" dataDxfId="17" dataCellStyle="Comma"/>
    <tableColumn id="14" xr3:uid="{683613F4-BA48-4B1D-A03B-70067191B730}" name="EOL Status " dataDxfId="16"/>
    <tableColumn id="15" xr3:uid="{9F377C1A-B068-4C97-9310-BF29F631C515}" name="Collection City (Required)" dataDxfId="15">
      <calculatedColumnFormula>_xlfn.XLOOKUP(Table1[[#This Row],[Serial Number]],[1]Apr!$O:$O,[1]Apr!$F:$F)</calculatedColumnFormula>
    </tableColumn>
    <tableColumn id="25" xr3:uid="{699750F2-BEFE-4F2F-B5A3-169607EFA074}" name="Collection Handle by" dataDxfId="14"/>
    <tableColumn id="24" xr3:uid="{1B8734BD-8B5D-4151-AC49-4F80CAF6E3A8}" name="Status" dataDxfId="13"/>
    <tableColumn id="23" xr3:uid="{BAFDEFFD-2DF2-4A9D-8B03-9C4EAD248C9D}" name="Confirmed Collection City" dataDxfId="12"/>
    <tableColumn id="22" xr3:uid="{85D0398B-968F-43F9-A1A2-DB3B8BE7DE0E}" name="Option Checking" dataDxfId="11"/>
    <tableColumn id="21" xr3:uid="{CAC66F93-FEA4-43FA-BFA1-079702F3C1BE}" name="Appointed Collecion Date" dataDxfId="10"/>
    <tableColumn id="20" xr3:uid="{49A0A5B7-7FFD-4AC5-88E6-B94411F08992}" name="Remark" dataDxfId="9"/>
    <tableColumn id="19" xr3:uid="{6F648F11-9C8D-4769-BB02-F32DC10853F3}" name="Billing Terminated Date" dataDxfId="8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ukidkawin_so@minor.com" TargetMode="External"/><Relationship Id="rId13" Type="http://schemas.openxmlformats.org/officeDocument/2006/relationships/hyperlink" Target="mailto:parinmet_th@minor.com" TargetMode="External"/><Relationship Id="rId3" Type="http://schemas.openxmlformats.org/officeDocument/2006/relationships/hyperlink" Target="mailto:artit_in@minor.com" TargetMode="External"/><Relationship Id="rId7" Type="http://schemas.openxmlformats.org/officeDocument/2006/relationships/hyperlink" Target="mailto:nattaphat_pe@minor.com" TargetMode="External"/><Relationship Id="rId12" Type="http://schemas.openxmlformats.org/officeDocument/2006/relationships/hyperlink" Target="mailto:nilawat_pu@minor.com" TargetMode="External"/><Relationship Id="rId17" Type="http://schemas.openxmlformats.org/officeDocument/2006/relationships/hyperlink" Target="mailto:Spayo@europastry.com" TargetMode="External"/><Relationship Id="rId2" Type="http://schemas.openxmlformats.org/officeDocument/2006/relationships/hyperlink" Target="mailto:anan_ha@minor.com" TargetMode="External"/><Relationship Id="rId16" Type="http://schemas.openxmlformats.org/officeDocument/2006/relationships/hyperlink" Target="mailto:artit_in@minor.com" TargetMode="External"/><Relationship Id="rId1" Type="http://schemas.openxmlformats.org/officeDocument/2006/relationships/hyperlink" Target="mailto:tawinun_wi@minor.com" TargetMode="External"/><Relationship Id="rId6" Type="http://schemas.openxmlformats.org/officeDocument/2006/relationships/hyperlink" Target="mailto:chalermpong_pi@minor.com" TargetMode="External"/><Relationship Id="rId11" Type="http://schemas.openxmlformats.org/officeDocument/2006/relationships/hyperlink" Target="mailto:nattakorn_so@minor.com" TargetMode="External"/><Relationship Id="rId5" Type="http://schemas.openxmlformats.org/officeDocument/2006/relationships/hyperlink" Target="mailto:kraisan_ka@minor.com" TargetMode="External"/><Relationship Id="rId15" Type="http://schemas.openxmlformats.org/officeDocument/2006/relationships/hyperlink" Target="mailto:piyawat_ch@minor.com" TargetMode="External"/><Relationship Id="rId10" Type="http://schemas.openxmlformats.org/officeDocument/2006/relationships/hyperlink" Target="mailto:chalermpong_pi@minor.com" TargetMode="External"/><Relationship Id="rId4" Type="http://schemas.openxmlformats.org/officeDocument/2006/relationships/hyperlink" Target="mailto:chaowalit_th@minor.com" TargetMode="External"/><Relationship Id="rId9" Type="http://schemas.openxmlformats.org/officeDocument/2006/relationships/hyperlink" Target="mailto:prasit_ki@minor.com" TargetMode="External"/><Relationship Id="rId14" Type="http://schemas.openxmlformats.org/officeDocument/2006/relationships/hyperlink" Target="mailto:somsak_sa@min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ED35-F682-4AF2-8D29-6B053F6483B5}">
  <dimension ref="A1:B14"/>
  <sheetViews>
    <sheetView workbookViewId="0">
      <selection activeCell="F16" sqref="F16"/>
    </sheetView>
  </sheetViews>
  <sheetFormatPr defaultRowHeight="14.25" x14ac:dyDescent="0.2"/>
  <cols>
    <col min="1" max="1" width="45.875" bestFit="1" customWidth="1"/>
    <col min="2" max="2" width="11.125" customWidth="1"/>
  </cols>
  <sheetData>
    <row r="1" spans="1:2" x14ac:dyDescent="0.2">
      <c r="A1" s="25" t="s">
        <v>374</v>
      </c>
      <c r="B1" t="s" vm="1">
        <v>376</v>
      </c>
    </row>
    <row r="3" spans="1:2" x14ac:dyDescent="0.2">
      <c r="A3" s="25" t="s">
        <v>229</v>
      </c>
      <c r="B3" t="s">
        <v>241</v>
      </c>
    </row>
    <row r="4" spans="1:2" x14ac:dyDescent="0.2">
      <c r="A4" s="26" t="s">
        <v>31</v>
      </c>
      <c r="B4">
        <v>6</v>
      </c>
    </row>
    <row r="5" spans="1:2" x14ac:dyDescent="0.2">
      <c r="A5" s="26" t="s">
        <v>230</v>
      </c>
      <c r="B5">
        <v>1</v>
      </c>
    </row>
    <row r="6" spans="1:2" x14ac:dyDescent="0.2">
      <c r="A6" s="26" t="s">
        <v>231</v>
      </c>
      <c r="B6">
        <v>15</v>
      </c>
    </row>
    <row r="7" spans="1:2" x14ac:dyDescent="0.2">
      <c r="A7" s="26" t="s">
        <v>232</v>
      </c>
      <c r="B7">
        <v>39</v>
      </c>
    </row>
    <row r="8" spans="1:2" x14ac:dyDescent="0.2">
      <c r="A8" s="26" t="s">
        <v>233</v>
      </c>
      <c r="B8">
        <v>36</v>
      </c>
    </row>
    <row r="9" spans="1:2" x14ac:dyDescent="0.2">
      <c r="A9" s="26" t="s">
        <v>234</v>
      </c>
      <c r="B9">
        <v>3</v>
      </c>
    </row>
    <row r="10" spans="1:2" x14ac:dyDescent="0.2">
      <c r="A10" s="26" t="s">
        <v>235</v>
      </c>
      <c r="B10">
        <v>4</v>
      </c>
    </row>
    <row r="11" spans="1:2" x14ac:dyDescent="0.2">
      <c r="A11" s="26" t="s">
        <v>25</v>
      </c>
      <c r="B11">
        <v>1</v>
      </c>
    </row>
    <row r="12" spans="1:2" x14ac:dyDescent="0.2">
      <c r="A12" s="26" t="s">
        <v>421</v>
      </c>
      <c r="B12">
        <v>1</v>
      </c>
    </row>
    <row r="13" spans="1:2" x14ac:dyDescent="0.2">
      <c r="A13" s="26" t="s">
        <v>239</v>
      </c>
      <c r="B13">
        <v>5</v>
      </c>
    </row>
    <row r="14" spans="1:2" x14ac:dyDescent="0.2">
      <c r="A14" s="26" t="s">
        <v>240</v>
      </c>
      <c r="B14">
        <v>111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2EC1-8E0F-4A2A-97F3-964000BB0CEA}">
  <dimension ref="A3:B18"/>
  <sheetViews>
    <sheetView workbookViewId="0">
      <selection activeCell="A3" sqref="A3:B18"/>
    </sheetView>
  </sheetViews>
  <sheetFormatPr defaultRowHeight="14.25" x14ac:dyDescent="0.2"/>
  <cols>
    <col min="1" max="1" width="49.125" bestFit="1" customWidth="1"/>
    <col min="2" max="2" width="22.625" bestFit="1" customWidth="1"/>
  </cols>
  <sheetData>
    <row r="3" spans="1:2" x14ac:dyDescent="0.2">
      <c r="A3" s="25" t="s">
        <v>229</v>
      </c>
      <c r="B3" t="s">
        <v>241</v>
      </c>
    </row>
    <row r="4" spans="1:2" x14ac:dyDescent="0.2">
      <c r="A4" s="26" t="s">
        <v>31</v>
      </c>
      <c r="B4">
        <v>6</v>
      </c>
    </row>
    <row r="5" spans="1:2" x14ac:dyDescent="0.2">
      <c r="A5" s="26" t="s">
        <v>230</v>
      </c>
      <c r="B5">
        <v>1</v>
      </c>
    </row>
    <row r="6" spans="1:2" x14ac:dyDescent="0.2">
      <c r="A6" s="26" t="s">
        <v>26</v>
      </c>
      <c r="B6">
        <v>3</v>
      </c>
    </row>
    <row r="7" spans="1:2" x14ac:dyDescent="0.2">
      <c r="A7" s="26" t="s">
        <v>24</v>
      </c>
      <c r="B7">
        <v>10</v>
      </c>
    </row>
    <row r="8" spans="1:2" x14ac:dyDescent="0.2">
      <c r="A8" s="26" t="s">
        <v>231</v>
      </c>
      <c r="B8">
        <v>15</v>
      </c>
    </row>
    <row r="9" spans="1:2" x14ac:dyDescent="0.2">
      <c r="A9" s="26" t="s">
        <v>232</v>
      </c>
      <c r="B9">
        <v>39</v>
      </c>
    </row>
    <row r="10" spans="1:2" x14ac:dyDescent="0.2">
      <c r="A10" s="26" t="s">
        <v>233</v>
      </c>
      <c r="B10">
        <v>36</v>
      </c>
    </row>
    <row r="11" spans="1:2" x14ac:dyDescent="0.2">
      <c r="A11" s="26" t="s">
        <v>234</v>
      </c>
      <c r="B11">
        <v>3</v>
      </c>
    </row>
    <row r="12" spans="1:2" x14ac:dyDescent="0.2">
      <c r="A12" s="26" t="s">
        <v>235</v>
      </c>
      <c r="B12">
        <v>4</v>
      </c>
    </row>
    <row r="13" spans="1:2" x14ac:dyDescent="0.2">
      <c r="A13" s="26" t="s">
        <v>236</v>
      </c>
      <c r="B13">
        <v>2</v>
      </c>
    </row>
    <row r="14" spans="1:2" x14ac:dyDescent="0.2">
      <c r="A14" s="26" t="s">
        <v>25</v>
      </c>
      <c r="B14">
        <v>1</v>
      </c>
    </row>
    <row r="15" spans="1:2" x14ac:dyDescent="0.2">
      <c r="A15" s="26" t="s">
        <v>237</v>
      </c>
      <c r="B15">
        <v>1</v>
      </c>
    </row>
    <row r="16" spans="1:2" x14ac:dyDescent="0.2">
      <c r="A16" s="26" t="s">
        <v>239</v>
      </c>
      <c r="B16">
        <v>5</v>
      </c>
    </row>
    <row r="17" spans="1:2" x14ac:dyDescent="0.2">
      <c r="A17" s="26" t="s">
        <v>22</v>
      </c>
      <c r="B17">
        <v>99</v>
      </c>
    </row>
    <row r="18" spans="1:2" x14ac:dyDescent="0.2">
      <c r="A18" s="26" t="s">
        <v>240</v>
      </c>
      <c r="B18">
        <v>225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6B70-17C8-4F1B-A6BF-ECAD75694624}">
  <dimension ref="A1:V271"/>
  <sheetViews>
    <sheetView tabSelected="1" topLeftCell="L236" zoomScale="90" zoomScaleNormal="90" workbookViewId="0">
      <selection activeCell="R249" sqref="R249"/>
    </sheetView>
  </sheetViews>
  <sheetFormatPr defaultColWidth="9.125" defaultRowHeight="11.25" x14ac:dyDescent="0.15"/>
  <cols>
    <col min="1" max="1" width="10.875" style="11" customWidth="1"/>
    <col min="2" max="2" width="9.125" style="11"/>
    <col min="3" max="3" width="8.625" style="11" bestFit="1" customWidth="1"/>
    <col min="4" max="4" width="4.625" style="11" customWidth="1"/>
    <col min="5" max="5" width="13.125" style="11" customWidth="1"/>
    <col min="6" max="6" width="13.625" style="12" customWidth="1"/>
    <col min="7" max="7" width="19" style="12" bestFit="1" customWidth="1"/>
    <col min="8" max="8" width="9.625" style="11" bestFit="1" customWidth="1"/>
    <col min="9" max="9" width="9.25" style="11" hidden="1" customWidth="1"/>
    <col min="10" max="10" width="16.625" style="11" customWidth="1"/>
    <col min="11" max="11" width="9.125" style="11" customWidth="1"/>
    <col min="12" max="12" width="13" style="11" customWidth="1"/>
    <col min="13" max="13" width="8.5" style="11" hidden="1" customWidth="1"/>
    <col min="14" max="14" width="9.25" style="11" customWidth="1"/>
    <col min="15" max="15" width="38.375" style="11" bestFit="1" customWidth="1"/>
    <col min="16" max="16" width="15.125" style="11" customWidth="1"/>
    <col min="17" max="17" width="20.75" style="11" bestFit="1" customWidth="1"/>
    <col min="18" max="18" width="22.75" style="11" bestFit="1" customWidth="1"/>
    <col min="19" max="19" width="15.125" style="11" customWidth="1"/>
    <col min="20" max="20" width="15.125" style="49" customWidth="1"/>
    <col min="21" max="21" width="24.625" style="11" bestFit="1" customWidth="1"/>
    <col min="22" max="22" width="23.625" style="11" bestFit="1" customWidth="1"/>
    <col min="23" max="16384" width="9.125" style="11"/>
  </cols>
  <sheetData>
    <row r="1" spans="1:22" s="5" customFormat="1" ht="17.2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40" t="s">
        <v>374</v>
      </c>
      <c r="Q1" s="40" t="s">
        <v>369</v>
      </c>
      <c r="R1" s="40" t="s">
        <v>370</v>
      </c>
      <c r="S1" s="40" t="s">
        <v>371</v>
      </c>
      <c r="T1" s="47" t="s">
        <v>372</v>
      </c>
      <c r="U1" s="41" t="s">
        <v>373</v>
      </c>
      <c r="V1" s="13" t="s">
        <v>15</v>
      </c>
    </row>
    <row r="2" spans="1:22" ht="12" hidden="1" x14ac:dyDescent="0.15">
      <c r="A2" s="6" t="s">
        <v>16</v>
      </c>
      <c r="B2" s="7" t="s">
        <v>17</v>
      </c>
      <c r="C2" s="7" t="s">
        <v>18</v>
      </c>
      <c r="D2" s="7">
        <v>36</v>
      </c>
      <c r="E2" s="8" t="s">
        <v>228</v>
      </c>
      <c r="F2" s="9">
        <v>45047</v>
      </c>
      <c r="G2" s="9">
        <v>46142</v>
      </c>
      <c r="H2" s="8">
        <v>1</v>
      </c>
      <c r="I2" s="8" t="s">
        <v>19</v>
      </c>
      <c r="J2" s="14" t="s">
        <v>32</v>
      </c>
      <c r="K2" s="14" t="s">
        <v>20</v>
      </c>
      <c r="L2" s="14" t="s">
        <v>33</v>
      </c>
      <c r="M2" s="10"/>
      <c r="N2" s="8" t="s">
        <v>21</v>
      </c>
      <c r="O2" s="8" t="str">
        <f>_xlfn.XLOOKUP(Table1[[#This Row],[Serial Number]],[1]Apr!$O:$O,[1]Apr!$F:$F)</f>
        <v>The ParQ</v>
      </c>
      <c r="P2" s="8" t="s">
        <v>375</v>
      </c>
      <c r="Q2" s="8"/>
      <c r="R2" s="8"/>
      <c r="S2" s="8"/>
      <c r="T2" s="8"/>
      <c r="U2" s="8"/>
      <c r="V2" s="15"/>
    </row>
    <row r="3" spans="1:22" ht="12" hidden="1" x14ac:dyDescent="0.15">
      <c r="A3" s="6" t="s">
        <v>16</v>
      </c>
      <c r="B3" s="7" t="s">
        <v>17</v>
      </c>
      <c r="C3" s="7" t="s">
        <v>18</v>
      </c>
      <c r="D3" s="7">
        <v>36</v>
      </c>
      <c r="E3" s="8" t="s">
        <v>228</v>
      </c>
      <c r="F3" s="9">
        <v>45047</v>
      </c>
      <c r="G3" s="9">
        <v>46142</v>
      </c>
      <c r="H3" s="8">
        <v>1</v>
      </c>
      <c r="I3" s="8"/>
      <c r="J3" s="14" t="s">
        <v>32</v>
      </c>
      <c r="K3" s="14" t="s">
        <v>20</v>
      </c>
      <c r="L3" s="14" t="s">
        <v>34</v>
      </c>
      <c r="M3" s="10"/>
      <c r="N3" s="8" t="s">
        <v>21</v>
      </c>
      <c r="O3" s="8" t="str">
        <f>_xlfn.XLOOKUP(Table1[[#This Row],[Serial Number]],[1]Apr!$O:$O,[1]Apr!$F:$F)</f>
        <v>The ParQ</v>
      </c>
      <c r="P3" s="8" t="s">
        <v>375</v>
      </c>
      <c r="Q3" s="8"/>
      <c r="R3" s="8"/>
      <c r="S3" s="8"/>
      <c r="T3" s="8"/>
      <c r="U3" s="8"/>
      <c r="V3" s="16"/>
    </row>
    <row r="4" spans="1:22" ht="12" hidden="1" x14ac:dyDescent="0.15">
      <c r="A4" s="6" t="s">
        <v>16</v>
      </c>
      <c r="B4" s="7" t="s">
        <v>17</v>
      </c>
      <c r="C4" s="7" t="s">
        <v>18</v>
      </c>
      <c r="D4" s="7">
        <v>36</v>
      </c>
      <c r="E4" s="8" t="s">
        <v>228</v>
      </c>
      <c r="F4" s="9">
        <v>45047</v>
      </c>
      <c r="G4" s="9">
        <v>46142</v>
      </c>
      <c r="H4" s="8">
        <v>1</v>
      </c>
      <c r="I4" s="8"/>
      <c r="J4" s="14" t="s">
        <v>35</v>
      </c>
      <c r="K4" s="14" t="s">
        <v>20</v>
      </c>
      <c r="L4" s="14" t="s">
        <v>36</v>
      </c>
      <c r="M4" s="10"/>
      <c r="N4" s="8" t="s">
        <v>21</v>
      </c>
      <c r="O4" s="8" t="str">
        <f>_xlfn.XLOOKUP(Table1[[#This Row],[Serial Number]],[1]Apr!$O:$O,[1]Apr!$F:$F)</f>
        <v>The ParQ</v>
      </c>
      <c r="P4" s="8" t="s">
        <v>375</v>
      </c>
      <c r="Q4" s="8"/>
      <c r="R4" s="8"/>
      <c r="S4" s="8"/>
      <c r="T4" s="8"/>
      <c r="U4" s="8"/>
      <c r="V4" s="16"/>
    </row>
    <row r="5" spans="1:22" ht="12" hidden="1" x14ac:dyDescent="0.15">
      <c r="A5" s="6" t="s">
        <v>16</v>
      </c>
      <c r="B5" s="7" t="s">
        <v>17</v>
      </c>
      <c r="C5" s="7" t="s">
        <v>18</v>
      </c>
      <c r="D5" s="7">
        <v>36</v>
      </c>
      <c r="E5" s="8" t="s">
        <v>228</v>
      </c>
      <c r="F5" s="9">
        <v>45047</v>
      </c>
      <c r="G5" s="9">
        <v>46142</v>
      </c>
      <c r="H5" s="8">
        <v>1</v>
      </c>
      <c r="I5" s="8"/>
      <c r="J5" s="14" t="s">
        <v>32</v>
      </c>
      <c r="K5" s="14" t="s">
        <v>20</v>
      </c>
      <c r="L5" s="14" t="s">
        <v>37</v>
      </c>
      <c r="M5" s="10"/>
      <c r="N5" s="8" t="s">
        <v>21</v>
      </c>
      <c r="O5" s="8" t="str">
        <f>_xlfn.XLOOKUP(Table1[[#This Row],[Serial Number]],[1]Apr!$O:$O,[1]Apr!$F:$F)</f>
        <v>The ParQ</v>
      </c>
      <c r="P5" s="8" t="s">
        <v>375</v>
      </c>
      <c r="Q5" s="8"/>
      <c r="R5" s="8"/>
      <c r="S5" s="8"/>
      <c r="T5" s="8"/>
      <c r="U5" s="8"/>
      <c r="V5" s="16"/>
    </row>
    <row r="6" spans="1:22" ht="12" hidden="1" x14ac:dyDescent="0.15">
      <c r="A6" s="6" t="s">
        <v>16</v>
      </c>
      <c r="B6" s="7" t="s">
        <v>17</v>
      </c>
      <c r="C6" s="7" t="s">
        <v>18</v>
      </c>
      <c r="D6" s="7">
        <v>36</v>
      </c>
      <c r="E6" s="8" t="s">
        <v>228</v>
      </c>
      <c r="F6" s="9">
        <v>45047</v>
      </c>
      <c r="G6" s="9">
        <v>46142</v>
      </c>
      <c r="H6" s="8">
        <v>1</v>
      </c>
      <c r="I6" s="8"/>
      <c r="J6" s="14" t="s">
        <v>35</v>
      </c>
      <c r="K6" s="14" t="s">
        <v>20</v>
      </c>
      <c r="L6" s="14" t="s">
        <v>38</v>
      </c>
      <c r="M6" s="10"/>
      <c r="N6" s="8" t="s">
        <v>21</v>
      </c>
      <c r="O6" s="8" t="str">
        <f>_xlfn.XLOOKUP(Table1[[#This Row],[Serial Number]],[1]Apr!$O:$O,[1]Apr!$F:$F)</f>
        <v>The ParQ</v>
      </c>
      <c r="P6" s="8" t="s">
        <v>375</v>
      </c>
      <c r="Q6" s="8"/>
      <c r="R6" s="8"/>
      <c r="S6" s="8"/>
      <c r="T6" s="8"/>
      <c r="U6" s="8"/>
      <c r="V6" s="16"/>
    </row>
    <row r="7" spans="1:22" ht="12" hidden="1" x14ac:dyDescent="0.15">
      <c r="A7" s="6" t="s">
        <v>16</v>
      </c>
      <c r="B7" s="7" t="s">
        <v>17</v>
      </c>
      <c r="C7" s="7" t="s">
        <v>18</v>
      </c>
      <c r="D7" s="7">
        <v>36</v>
      </c>
      <c r="E7" s="8" t="s">
        <v>228</v>
      </c>
      <c r="F7" s="9">
        <v>45047</v>
      </c>
      <c r="G7" s="9">
        <v>46142</v>
      </c>
      <c r="H7" s="8">
        <v>1</v>
      </c>
      <c r="I7" s="8"/>
      <c r="J7" s="14" t="s">
        <v>39</v>
      </c>
      <c r="K7" s="14" t="s">
        <v>20</v>
      </c>
      <c r="L7" s="14" t="s">
        <v>40</v>
      </c>
      <c r="M7" s="10"/>
      <c r="N7" s="8" t="s">
        <v>21</v>
      </c>
      <c r="O7" s="8" t="str">
        <f>_xlfn.XLOOKUP(Table1[[#This Row],[Serial Number]],[1]Apr!$O:$O,[1]Apr!$F:$F)</f>
        <v>The ParQ</v>
      </c>
      <c r="P7" s="8" t="s">
        <v>375</v>
      </c>
      <c r="Q7" s="8"/>
      <c r="R7" s="8"/>
      <c r="S7" s="8"/>
      <c r="T7" s="8"/>
      <c r="U7" s="8"/>
      <c r="V7" s="16"/>
    </row>
    <row r="8" spans="1:22" ht="12" hidden="1" x14ac:dyDescent="0.15">
      <c r="A8" s="6" t="s">
        <v>16</v>
      </c>
      <c r="B8" s="7" t="s">
        <v>17</v>
      </c>
      <c r="C8" s="7" t="s">
        <v>18</v>
      </c>
      <c r="D8" s="7">
        <v>36</v>
      </c>
      <c r="E8" s="8" t="s">
        <v>228</v>
      </c>
      <c r="F8" s="9">
        <v>45047</v>
      </c>
      <c r="G8" s="9">
        <v>46142</v>
      </c>
      <c r="H8" s="8">
        <v>1</v>
      </c>
      <c r="I8" s="8"/>
      <c r="J8" s="14" t="s">
        <v>35</v>
      </c>
      <c r="K8" s="14" t="s">
        <v>20</v>
      </c>
      <c r="L8" s="14" t="s">
        <v>41</v>
      </c>
      <c r="M8" s="10"/>
      <c r="N8" s="8" t="s">
        <v>21</v>
      </c>
      <c r="O8" s="8" t="str">
        <f>_xlfn.XLOOKUP(Table1[[#This Row],[Serial Number]],[1]Apr!$O:$O,[1]Apr!$F:$F)</f>
        <v>The ParQ</v>
      </c>
      <c r="P8" s="8" t="s">
        <v>375</v>
      </c>
      <c r="Q8" s="8"/>
      <c r="R8" s="8"/>
      <c r="S8" s="8"/>
      <c r="T8" s="8"/>
      <c r="U8" s="8"/>
      <c r="V8" s="16"/>
    </row>
    <row r="9" spans="1:22" ht="12" hidden="1" x14ac:dyDescent="0.15">
      <c r="A9" s="6" t="s">
        <v>16</v>
      </c>
      <c r="B9" s="7" t="s">
        <v>17</v>
      </c>
      <c r="C9" s="7" t="s">
        <v>18</v>
      </c>
      <c r="D9" s="7">
        <v>36</v>
      </c>
      <c r="E9" s="8" t="s">
        <v>228</v>
      </c>
      <c r="F9" s="9">
        <v>45047</v>
      </c>
      <c r="G9" s="9">
        <v>46142</v>
      </c>
      <c r="H9" s="8">
        <v>1</v>
      </c>
      <c r="I9" s="8"/>
      <c r="J9" s="14" t="s">
        <v>35</v>
      </c>
      <c r="K9" s="14" t="s">
        <v>20</v>
      </c>
      <c r="L9" s="14" t="s">
        <v>42</v>
      </c>
      <c r="M9" s="10"/>
      <c r="N9" s="8" t="s">
        <v>21</v>
      </c>
      <c r="O9" s="8" t="str">
        <f>_xlfn.XLOOKUP(Table1[[#This Row],[Serial Number]],[1]Apr!$O:$O,[1]Apr!$F:$F)</f>
        <v>The ParQ</v>
      </c>
      <c r="P9" s="8" t="s">
        <v>375</v>
      </c>
      <c r="Q9" s="8"/>
      <c r="R9" s="8"/>
      <c r="S9" s="8"/>
      <c r="T9" s="8"/>
      <c r="U9" s="8"/>
      <c r="V9" s="16"/>
    </row>
    <row r="10" spans="1:22" ht="12" hidden="1" x14ac:dyDescent="0.15">
      <c r="A10" s="6" t="s">
        <v>16</v>
      </c>
      <c r="B10" s="7" t="s">
        <v>17</v>
      </c>
      <c r="C10" s="7" t="s">
        <v>18</v>
      </c>
      <c r="D10" s="7">
        <v>36</v>
      </c>
      <c r="E10" s="8" t="s">
        <v>228</v>
      </c>
      <c r="F10" s="9">
        <v>45047</v>
      </c>
      <c r="G10" s="9">
        <v>46142</v>
      </c>
      <c r="H10" s="8">
        <v>1</v>
      </c>
      <c r="I10" s="8"/>
      <c r="J10" s="14" t="s">
        <v>35</v>
      </c>
      <c r="K10" s="14" t="s">
        <v>20</v>
      </c>
      <c r="L10" s="14" t="s">
        <v>43</v>
      </c>
      <c r="M10" s="10"/>
      <c r="N10" s="8" t="s">
        <v>21</v>
      </c>
      <c r="O10" s="8" t="str">
        <f>_xlfn.XLOOKUP(Table1[[#This Row],[Serial Number]],[1]Apr!$O:$O,[1]Apr!$F:$F)</f>
        <v>The ParQ</v>
      </c>
      <c r="P10" s="8" t="s">
        <v>375</v>
      </c>
      <c r="Q10" s="8"/>
      <c r="R10" s="8"/>
      <c r="S10" s="8"/>
      <c r="T10" s="8"/>
      <c r="U10" s="8"/>
      <c r="V10" s="16"/>
    </row>
    <row r="11" spans="1:22" ht="12" hidden="1" x14ac:dyDescent="0.15">
      <c r="A11" s="6" t="s">
        <v>16</v>
      </c>
      <c r="B11" s="7" t="s">
        <v>17</v>
      </c>
      <c r="C11" s="7" t="s">
        <v>18</v>
      </c>
      <c r="D11" s="7">
        <v>36</v>
      </c>
      <c r="E11" s="8" t="s">
        <v>228</v>
      </c>
      <c r="F11" s="9">
        <v>45047</v>
      </c>
      <c r="G11" s="9">
        <v>46142</v>
      </c>
      <c r="H11" s="8">
        <v>1</v>
      </c>
      <c r="I11" s="8"/>
      <c r="J11" s="14" t="s">
        <v>35</v>
      </c>
      <c r="K11" s="14" t="s">
        <v>20</v>
      </c>
      <c r="L11" s="14" t="s">
        <v>44</v>
      </c>
      <c r="M11" s="10"/>
      <c r="N11" s="8" t="s">
        <v>21</v>
      </c>
      <c r="O11" s="8" t="str">
        <f>_xlfn.XLOOKUP(Table1[[#This Row],[Serial Number]],[1]Apr!$O:$O,[1]Apr!$F:$F)</f>
        <v>The ParQ</v>
      </c>
      <c r="P11" s="8" t="s">
        <v>375</v>
      </c>
      <c r="Q11" s="8"/>
      <c r="R11" s="8"/>
      <c r="S11" s="8"/>
      <c r="T11" s="8"/>
      <c r="U11" s="8"/>
      <c r="V11" s="16"/>
    </row>
    <row r="12" spans="1:22" ht="12" hidden="1" x14ac:dyDescent="0.15">
      <c r="A12" s="6" t="s">
        <v>16</v>
      </c>
      <c r="B12" s="7" t="s">
        <v>17</v>
      </c>
      <c r="C12" s="7" t="s">
        <v>18</v>
      </c>
      <c r="D12" s="7">
        <v>36</v>
      </c>
      <c r="E12" s="8" t="s">
        <v>228</v>
      </c>
      <c r="F12" s="9">
        <v>45047</v>
      </c>
      <c r="G12" s="9">
        <v>46142</v>
      </c>
      <c r="H12" s="8">
        <v>1</v>
      </c>
      <c r="I12" s="8"/>
      <c r="J12" s="14" t="s">
        <v>35</v>
      </c>
      <c r="K12" s="14" t="s">
        <v>20</v>
      </c>
      <c r="L12" s="14" t="s">
        <v>45</v>
      </c>
      <c r="M12" s="10"/>
      <c r="N12" s="8" t="s">
        <v>21</v>
      </c>
      <c r="O12" s="8" t="str">
        <f>_xlfn.XLOOKUP(Table1[[#This Row],[Serial Number]],[1]Apr!$O:$O,[1]Apr!$F:$F)</f>
        <v>The ParQ</v>
      </c>
      <c r="P12" s="8" t="s">
        <v>375</v>
      </c>
      <c r="Q12" s="8"/>
      <c r="R12" s="8"/>
      <c r="S12" s="8"/>
      <c r="T12" s="8"/>
      <c r="U12" s="8"/>
      <c r="V12" s="16"/>
    </row>
    <row r="13" spans="1:22" ht="12" hidden="1" x14ac:dyDescent="0.15">
      <c r="A13" s="6" t="s">
        <v>16</v>
      </c>
      <c r="B13" s="7" t="s">
        <v>17</v>
      </c>
      <c r="C13" s="7" t="s">
        <v>18</v>
      </c>
      <c r="D13" s="7">
        <v>36</v>
      </c>
      <c r="E13" s="8" t="s">
        <v>228</v>
      </c>
      <c r="F13" s="9">
        <v>45047</v>
      </c>
      <c r="G13" s="9">
        <v>46142</v>
      </c>
      <c r="H13" s="8">
        <v>1</v>
      </c>
      <c r="I13" s="8"/>
      <c r="J13" s="14" t="s">
        <v>35</v>
      </c>
      <c r="K13" s="14" t="s">
        <v>20</v>
      </c>
      <c r="L13" s="14" t="s">
        <v>46</v>
      </c>
      <c r="M13" s="10"/>
      <c r="N13" s="8" t="s">
        <v>21</v>
      </c>
      <c r="O13" s="8" t="s">
        <v>22</v>
      </c>
      <c r="P13" s="8" t="s">
        <v>375</v>
      </c>
      <c r="Q13" s="8"/>
      <c r="R13" s="8"/>
      <c r="S13" s="8"/>
      <c r="T13" s="8"/>
      <c r="U13" s="8"/>
      <c r="V13" s="16"/>
    </row>
    <row r="14" spans="1:22" ht="12" hidden="1" x14ac:dyDescent="0.15">
      <c r="A14" s="6" t="s">
        <v>16</v>
      </c>
      <c r="B14" s="7" t="s">
        <v>17</v>
      </c>
      <c r="C14" s="7" t="s">
        <v>18</v>
      </c>
      <c r="D14" s="7">
        <v>36</v>
      </c>
      <c r="E14" s="8" t="s">
        <v>228</v>
      </c>
      <c r="F14" s="9">
        <v>45047</v>
      </c>
      <c r="G14" s="9">
        <v>46142</v>
      </c>
      <c r="H14" s="8">
        <v>1</v>
      </c>
      <c r="I14" s="8"/>
      <c r="J14" s="14" t="s">
        <v>35</v>
      </c>
      <c r="K14" s="14" t="s">
        <v>20</v>
      </c>
      <c r="L14" s="14" t="s">
        <v>47</v>
      </c>
      <c r="M14" s="10"/>
      <c r="N14" s="8" t="s">
        <v>21</v>
      </c>
      <c r="O14" s="8" t="str">
        <f>_xlfn.XLOOKUP(Table1[[#This Row],[Serial Number]],[1]Apr!$O:$O,[1]Apr!$F:$F)</f>
        <v>The ParQ</v>
      </c>
      <c r="P14" s="8" t="s">
        <v>375</v>
      </c>
      <c r="Q14" s="8"/>
      <c r="R14" s="8"/>
      <c r="S14" s="8"/>
      <c r="T14" s="8"/>
      <c r="U14" s="8"/>
      <c r="V14" s="16"/>
    </row>
    <row r="15" spans="1:22" ht="12" hidden="1" x14ac:dyDescent="0.15">
      <c r="A15" s="6" t="s">
        <v>16</v>
      </c>
      <c r="B15" s="7" t="s">
        <v>17</v>
      </c>
      <c r="C15" s="7" t="s">
        <v>18</v>
      </c>
      <c r="D15" s="7">
        <v>36</v>
      </c>
      <c r="E15" s="8" t="s">
        <v>228</v>
      </c>
      <c r="F15" s="9">
        <v>45047</v>
      </c>
      <c r="G15" s="9">
        <v>46142</v>
      </c>
      <c r="H15" s="8">
        <v>1</v>
      </c>
      <c r="I15" s="8"/>
      <c r="J15" s="14" t="s">
        <v>35</v>
      </c>
      <c r="K15" s="14" t="s">
        <v>20</v>
      </c>
      <c r="L15" s="14" t="s">
        <v>48</v>
      </c>
      <c r="M15" s="10"/>
      <c r="N15" s="8" t="s">
        <v>21</v>
      </c>
      <c r="O15" s="8" t="s">
        <v>22</v>
      </c>
      <c r="P15" s="8" t="s">
        <v>375</v>
      </c>
      <c r="Q15" s="8"/>
      <c r="R15" s="8"/>
      <c r="S15" s="8"/>
      <c r="T15" s="8"/>
      <c r="U15" s="8"/>
      <c r="V15" s="16"/>
    </row>
    <row r="16" spans="1:22" ht="12" hidden="1" x14ac:dyDescent="0.15">
      <c r="A16" s="6" t="s">
        <v>16</v>
      </c>
      <c r="B16" s="7" t="s">
        <v>17</v>
      </c>
      <c r="C16" s="7" t="s">
        <v>18</v>
      </c>
      <c r="D16" s="7">
        <v>36</v>
      </c>
      <c r="E16" s="8" t="s">
        <v>228</v>
      </c>
      <c r="F16" s="9">
        <v>45047</v>
      </c>
      <c r="G16" s="9">
        <v>46142</v>
      </c>
      <c r="H16" s="8">
        <v>1</v>
      </c>
      <c r="I16" s="8"/>
      <c r="J16" s="14" t="s">
        <v>35</v>
      </c>
      <c r="K16" s="14" t="s">
        <v>20</v>
      </c>
      <c r="L16" s="14" t="s">
        <v>49</v>
      </c>
      <c r="M16" s="10"/>
      <c r="N16" s="8" t="s">
        <v>21</v>
      </c>
      <c r="O16" s="8" t="str">
        <f>_xlfn.XLOOKUP(Table1[[#This Row],[Serial Number]],[1]Apr!$O:$O,[1]Apr!$F:$F)</f>
        <v>The ParQ</v>
      </c>
      <c r="P16" s="8" t="s">
        <v>375</v>
      </c>
      <c r="Q16" s="8"/>
      <c r="R16" s="8"/>
      <c r="S16" s="8"/>
      <c r="T16" s="8"/>
      <c r="U16" s="8"/>
      <c r="V16" s="16"/>
    </row>
    <row r="17" spans="1:22" ht="12" hidden="1" x14ac:dyDescent="0.15">
      <c r="A17" s="6" t="s">
        <v>16</v>
      </c>
      <c r="B17" s="7" t="s">
        <v>17</v>
      </c>
      <c r="C17" s="7" t="s">
        <v>18</v>
      </c>
      <c r="D17" s="7">
        <v>36</v>
      </c>
      <c r="E17" s="8" t="s">
        <v>228</v>
      </c>
      <c r="F17" s="9">
        <v>45047</v>
      </c>
      <c r="G17" s="9">
        <v>46142</v>
      </c>
      <c r="H17" s="8">
        <v>1</v>
      </c>
      <c r="I17" s="8"/>
      <c r="J17" s="14" t="s">
        <v>35</v>
      </c>
      <c r="K17" s="14" t="s">
        <v>20</v>
      </c>
      <c r="L17" s="14" t="s">
        <v>50</v>
      </c>
      <c r="M17" s="10"/>
      <c r="N17" s="8" t="s">
        <v>21</v>
      </c>
      <c r="O17" s="8" t="s">
        <v>22</v>
      </c>
      <c r="P17" s="8" t="s">
        <v>375</v>
      </c>
      <c r="Q17" s="8"/>
      <c r="R17" s="8"/>
      <c r="S17" s="8"/>
      <c r="T17" s="8"/>
      <c r="U17" s="8"/>
      <c r="V17" s="16"/>
    </row>
    <row r="18" spans="1:22" ht="12" hidden="1" x14ac:dyDescent="0.15">
      <c r="A18" s="6" t="s">
        <v>16</v>
      </c>
      <c r="B18" s="7" t="s">
        <v>17</v>
      </c>
      <c r="C18" s="7" t="s">
        <v>18</v>
      </c>
      <c r="D18" s="7">
        <v>36</v>
      </c>
      <c r="E18" s="8" t="s">
        <v>228</v>
      </c>
      <c r="F18" s="9">
        <v>45047</v>
      </c>
      <c r="G18" s="9">
        <v>46142</v>
      </c>
      <c r="H18" s="8">
        <v>1</v>
      </c>
      <c r="I18" s="8"/>
      <c r="J18" s="14" t="s">
        <v>35</v>
      </c>
      <c r="K18" s="14" t="s">
        <v>20</v>
      </c>
      <c r="L18" s="14" t="s">
        <v>51</v>
      </c>
      <c r="M18" s="10"/>
      <c r="N18" s="8" t="s">
        <v>21</v>
      </c>
      <c r="O18" s="8" t="str">
        <f>_xlfn.XLOOKUP(Table1[[#This Row],[Serial Number]],[1]Apr!$O:$O,[1]Apr!$F:$F)</f>
        <v>The ParQ</v>
      </c>
      <c r="P18" s="8" t="s">
        <v>375</v>
      </c>
      <c r="Q18" s="8"/>
      <c r="R18" s="8"/>
      <c r="S18" s="8"/>
      <c r="T18" s="8"/>
      <c r="U18" s="8"/>
      <c r="V18" s="16"/>
    </row>
    <row r="19" spans="1:22" ht="12" x14ac:dyDescent="0.15">
      <c r="A19" s="6" t="s">
        <v>16</v>
      </c>
      <c r="B19" s="7" t="s">
        <v>17</v>
      </c>
      <c r="C19" s="7" t="s">
        <v>18</v>
      </c>
      <c r="D19" s="7">
        <v>36</v>
      </c>
      <c r="E19" s="8" t="s">
        <v>228</v>
      </c>
      <c r="F19" s="9">
        <v>45047</v>
      </c>
      <c r="G19" s="9">
        <v>46142</v>
      </c>
      <c r="H19" s="8">
        <v>1</v>
      </c>
      <c r="I19" s="8"/>
      <c r="J19" s="14" t="s">
        <v>35</v>
      </c>
      <c r="K19" s="14" t="s">
        <v>20</v>
      </c>
      <c r="L19" s="14" t="s">
        <v>52</v>
      </c>
      <c r="M19" s="10"/>
      <c r="N19" s="8" t="s">
        <v>21</v>
      </c>
      <c r="O19" s="8" t="str">
        <f>_xlfn.XLOOKUP(Table1[[#This Row],[Serial Number]],[1]Apr!$O:$O,[1]Apr!$F:$F)</f>
        <v>AVANI Pattaya Resort &amp; Spa</v>
      </c>
      <c r="P19" s="8" t="s">
        <v>377</v>
      </c>
      <c r="Q19" s="46" t="s">
        <v>384</v>
      </c>
      <c r="R19" s="8"/>
      <c r="S19" s="8"/>
      <c r="T19" s="48"/>
      <c r="U19" s="8"/>
      <c r="V19" s="16"/>
    </row>
    <row r="20" spans="1:22" ht="12" hidden="1" x14ac:dyDescent="0.15">
      <c r="A20" s="6" t="s">
        <v>16</v>
      </c>
      <c r="B20" s="7" t="s">
        <v>17</v>
      </c>
      <c r="C20" s="7" t="s">
        <v>18</v>
      </c>
      <c r="D20" s="7">
        <v>36</v>
      </c>
      <c r="E20" s="8" t="s">
        <v>228</v>
      </c>
      <c r="F20" s="9">
        <v>45047</v>
      </c>
      <c r="G20" s="9">
        <v>46142</v>
      </c>
      <c r="H20" s="8">
        <v>1</v>
      </c>
      <c r="I20" s="8"/>
      <c r="J20" s="14" t="s">
        <v>35</v>
      </c>
      <c r="K20" s="14" t="s">
        <v>20</v>
      </c>
      <c r="L20" s="14" t="s">
        <v>53</v>
      </c>
      <c r="M20" s="10"/>
      <c r="N20" s="8" t="s">
        <v>21</v>
      </c>
      <c r="O20" s="8" t="str">
        <f>_xlfn.XLOOKUP(Table1[[#This Row],[Serial Number]],[1]Apr!$O:$O,[1]Apr!$F:$F)</f>
        <v>The ParQ</v>
      </c>
      <c r="P20" s="8" t="s">
        <v>375</v>
      </c>
      <c r="Q20" s="8"/>
      <c r="R20" s="8"/>
      <c r="S20" s="8"/>
      <c r="T20" s="8"/>
      <c r="U20" s="8"/>
      <c r="V20" s="16"/>
    </row>
    <row r="21" spans="1:22" ht="12" hidden="1" x14ac:dyDescent="0.15">
      <c r="A21" s="6" t="s">
        <v>16</v>
      </c>
      <c r="B21" s="7" t="s">
        <v>17</v>
      </c>
      <c r="C21" s="7" t="s">
        <v>18</v>
      </c>
      <c r="D21" s="7">
        <v>36</v>
      </c>
      <c r="E21" s="8" t="s">
        <v>228</v>
      </c>
      <c r="F21" s="9">
        <v>45047</v>
      </c>
      <c r="G21" s="9">
        <v>46142</v>
      </c>
      <c r="H21" s="8">
        <v>1</v>
      </c>
      <c r="I21" s="8"/>
      <c r="J21" s="14" t="s">
        <v>32</v>
      </c>
      <c r="K21" s="14" t="s">
        <v>20</v>
      </c>
      <c r="L21" s="14" t="s">
        <v>54</v>
      </c>
      <c r="M21" s="10"/>
      <c r="N21" s="8" t="s">
        <v>21</v>
      </c>
      <c r="O21" s="8" t="str">
        <f>_xlfn.XLOOKUP(Table1[[#This Row],[Serial Number]],[1]Apr!$O:$O,[1]Apr!$F:$F)</f>
        <v>The ParQ</v>
      </c>
      <c r="P21" s="8" t="s">
        <v>375</v>
      </c>
      <c r="Q21" s="8"/>
      <c r="R21" s="8"/>
      <c r="S21" s="8"/>
      <c r="T21" s="8"/>
      <c r="U21" s="8"/>
      <c r="V21" s="16"/>
    </row>
    <row r="22" spans="1:22" ht="12" hidden="1" x14ac:dyDescent="0.15">
      <c r="A22" s="6" t="s">
        <v>16</v>
      </c>
      <c r="B22" s="7" t="s">
        <v>17</v>
      </c>
      <c r="C22" s="7" t="s">
        <v>18</v>
      </c>
      <c r="D22" s="7">
        <v>36</v>
      </c>
      <c r="E22" s="8" t="s">
        <v>228</v>
      </c>
      <c r="F22" s="9">
        <v>45047</v>
      </c>
      <c r="G22" s="9">
        <v>46142</v>
      </c>
      <c r="H22" s="8">
        <v>1</v>
      </c>
      <c r="I22" s="8"/>
      <c r="J22" s="14" t="s">
        <v>35</v>
      </c>
      <c r="K22" s="14" t="s">
        <v>20</v>
      </c>
      <c r="L22" s="14" t="s">
        <v>55</v>
      </c>
      <c r="M22" s="10"/>
      <c r="N22" s="8" t="s">
        <v>21</v>
      </c>
      <c r="O22" s="8" t="s">
        <v>22</v>
      </c>
      <c r="P22" s="8" t="s">
        <v>375</v>
      </c>
      <c r="Q22" s="8"/>
      <c r="R22" s="8"/>
      <c r="S22" s="8"/>
      <c r="T22" s="8"/>
      <c r="U22" s="8"/>
      <c r="V22" s="16"/>
    </row>
    <row r="23" spans="1:22" ht="12" hidden="1" x14ac:dyDescent="0.15">
      <c r="A23" s="6" t="s">
        <v>16</v>
      </c>
      <c r="B23" s="7" t="s">
        <v>17</v>
      </c>
      <c r="C23" s="7" t="s">
        <v>18</v>
      </c>
      <c r="D23" s="7">
        <v>36</v>
      </c>
      <c r="E23" s="8" t="s">
        <v>228</v>
      </c>
      <c r="F23" s="9">
        <v>45047</v>
      </c>
      <c r="G23" s="9">
        <v>46142</v>
      </c>
      <c r="H23" s="8">
        <v>1</v>
      </c>
      <c r="I23" s="8"/>
      <c r="J23" s="14" t="s">
        <v>35</v>
      </c>
      <c r="K23" s="14" t="s">
        <v>20</v>
      </c>
      <c r="L23" s="14" t="s">
        <v>56</v>
      </c>
      <c r="M23" s="10"/>
      <c r="N23" s="8" t="s">
        <v>21</v>
      </c>
      <c r="O23" s="8" t="str">
        <f>_xlfn.XLOOKUP(Table1[[#This Row],[Serial Number]],[1]Apr!$O:$O,[1]Apr!$F:$F)</f>
        <v>The ParQ</v>
      </c>
      <c r="P23" s="8" t="s">
        <v>375</v>
      </c>
      <c r="Q23" s="8"/>
      <c r="R23" s="8"/>
      <c r="S23" s="8"/>
      <c r="T23" s="8"/>
      <c r="U23" s="8"/>
      <c r="V23" s="16"/>
    </row>
    <row r="24" spans="1:22" ht="12" hidden="1" x14ac:dyDescent="0.15">
      <c r="A24" s="6" t="s">
        <v>16</v>
      </c>
      <c r="B24" s="7" t="s">
        <v>17</v>
      </c>
      <c r="C24" s="7" t="s">
        <v>18</v>
      </c>
      <c r="D24" s="7">
        <v>36</v>
      </c>
      <c r="E24" s="8" t="s">
        <v>228</v>
      </c>
      <c r="F24" s="9">
        <v>45047</v>
      </c>
      <c r="G24" s="9">
        <v>46142</v>
      </c>
      <c r="H24" s="8">
        <v>1</v>
      </c>
      <c r="I24" s="8"/>
      <c r="J24" s="14" t="s">
        <v>35</v>
      </c>
      <c r="K24" s="14" t="s">
        <v>20</v>
      </c>
      <c r="L24" s="14" t="s">
        <v>57</v>
      </c>
      <c r="M24" s="10"/>
      <c r="N24" s="8" t="s">
        <v>21</v>
      </c>
      <c r="O24" s="8" t="str">
        <f>_xlfn.XLOOKUP(Table1[[#This Row],[Serial Number]],[1]Apr!$O:$O,[1]Apr!$F:$F)</f>
        <v>The ParQ</v>
      </c>
      <c r="P24" s="8" t="s">
        <v>375</v>
      </c>
      <c r="Q24" s="8"/>
      <c r="R24" s="8"/>
      <c r="S24" s="8"/>
      <c r="T24" s="8"/>
      <c r="U24" s="8"/>
      <c r="V24" s="16"/>
    </row>
    <row r="25" spans="1:22" ht="12" hidden="1" x14ac:dyDescent="0.15">
      <c r="A25" s="6" t="s">
        <v>16</v>
      </c>
      <c r="B25" s="7" t="s">
        <v>17</v>
      </c>
      <c r="C25" s="7" t="s">
        <v>18</v>
      </c>
      <c r="D25" s="7">
        <v>36</v>
      </c>
      <c r="E25" s="8" t="s">
        <v>228</v>
      </c>
      <c r="F25" s="9">
        <v>45047</v>
      </c>
      <c r="G25" s="9">
        <v>46142</v>
      </c>
      <c r="H25" s="8">
        <v>1</v>
      </c>
      <c r="I25" s="8"/>
      <c r="J25" s="14" t="s">
        <v>39</v>
      </c>
      <c r="K25" s="14" t="s">
        <v>20</v>
      </c>
      <c r="L25" s="14" t="s">
        <v>58</v>
      </c>
      <c r="M25" s="10"/>
      <c r="N25" s="8" t="s">
        <v>21</v>
      </c>
      <c r="O25" s="8" t="str">
        <f>_xlfn.XLOOKUP(Table1[[#This Row],[Serial Number]],[1]Apr!$O:$O,[1]Apr!$F:$F)</f>
        <v>The ParQ</v>
      </c>
      <c r="P25" s="8" t="s">
        <v>375</v>
      </c>
      <c r="Q25" s="8"/>
      <c r="R25" s="8"/>
      <c r="S25" s="8"/>
      <c r="T25" s="8"/>
      <c r="U25" s="8"/>
      <c r="V25" s="16"/>
    </row>
    <row r="26" spans="1:22" ht="12" hidden="1" x14ac:dyDescent="0.15">
      <c r="A26" s="6" t="s">
        <v>16</v>
      </c>
      <c r="B26" s="7" t="s">
        <v>17</v>
      </c>
      <c r="C26" s="7" t="s">
        <v>18</v>
      </c>
      <c r="D26" s="7">
        <v>36</v>
      </c>
      <c r="E26" s="8" t="s">
        <v>228</v>
      </c>
      <c r="F26" s="9">
        <v>45047</v>
      </c>
      <c r="G26" s="9">
        <v>46142</v>
      </c>
      <c r="H26" s="8">
        <v>1</v>
      </c>
      <c r="I26" s="8"/>
      <c r="J26" s="14" t="s">
        <v>35</v>
      </c>
      <c r="K26" s="14" t="s">
        <v>20</v>
      </c>
      <c r="L26" s="14" t="s">
        <v>59</v>
      </c>
      <c r="M26" s="10"/>
      <c r="N26" s="8" t="s">
        <v>21</v>
      </c>
      <c r="O26" s="8" t="str">
        <f>_xlfn.XLOOKUP(Table1[[#This Row],[Serial Number]],[1]Apr!$O:$O,[1]Apr!$F:$F)</f>
        <v>The ParQ</v>
      </c>
      <c r="P26" s="8" t="s">
        <v>375</v>
      </c>
      <c r="Q26" s="8"/>
      <c r="R26" s="8"/>
      <c r="S26" s="8"/>
      <c r="T26" s="8"/>
      <c r="U26" s="8"/>
      <c r="V26" s="16"/>
    </row>
    <row r="27" spans="1:22" ht="12" hidden="1" x14ac:dyDescent="0.15">
      <c r="A27" s="6" t="s">
        <v>16</v>
      </c>
      <c r="B27" s="7" t="s">
        <v>17</v>
      </c>
      <c r="C27" s="7" t="s">
        <v>18</v>
      </c>
      <c r="D27" s="7">
        <v>36</v>
      </c>
      <c r="E27" s="8" t="s">
        <v>228</v>
      </c>
      <c r="F27" s="9">
        <v>45047</v>
      </c>
      <c r="G27" s="9">
        <v>46142</v>
      </c>
      <c r="H27" s="8">
        <v>1</v>
      </c>
      <c r="I27" s="8"/>
      <c r="J27" s="14" t="s">
        <v>35</v>
      </c>
      <c r="K27" s="14" t="s">
        <v>20</v>
      </c>
      <c r="L27" s="14" t="s">
        <v>60</v>
      </c>
      <c r="M27" s="10"/>
      <c r="N27" s="8" t="s">
        <v>21</v>
      </c>
      <c r="O27" s="8" t="str">
        <f>_xlfn.XLOOKUP(Table1[[#This Row],[Serial Number]],[1]Apr!$O:$O,[1]Apr!$F:$F)</f>
        <v>The ParQ</v>
      </c>
      <c r="P27" s="8" t="s">
        <v>375</v>
      </c>
      <c r="Q27" s="8"/>
      <c r="R27" s="8"/>
      <c r="S27" s="8"/>
      <c r="T27" s="8"/>
      <c r="U27" s="8"/>
      <c r="V27" s="16"/>
    </row>
    <row r="28" spans="1:22" ht="12" hidden="1" x14ac:dyDescent="0.15">
      <c r="A28" s="6" t="s">
        <v>16</v>
      </c>
      <c r="B28" s="7" t="s">
        <v>17</v>
      </c>
      <c r="C28" s="7" t="s">
        <v>18</v>
      </c>
      <c r="D28" s="7">
        <v>36</v>
      </c>
      <c r="E28" s="8" t="s">
        <v>228</v>
      </c>
      <c r="F28" s="9">
        <v>45047</v>
      </c>
      <c r="G28" s="9">
        <v>46142</v>
      </c>
      <c r="H28" s="8">
        <v>1</v>
      </c>
      <c r="I28" s="8"/>
      <c r="J28" s="14" t="s">
        <v>35</v>
      </c>
      <c r="K28" s="14" t="s">
        <v>20</v>
      </c>
      <c r="L28" s="14" t="s">
        <v>61</v>
      </c>
      <c r="M28" s="10"/>
      <c r="N28" s="8" t="s">
        <v>21</v>
      </c>
      <c r="O28" s="8" t="str">
        <f>_xlfn.XLOOKUP(Table1[[#This Row],[Serial Number]],[1]Apr!$O:$O,[1]Apr!$F:$F)</f>
        <v>The ParQ</v>
      </c>
      <c r="P28" s="8" t="s">
        <v>375</v>
      </c>
      <c r="Q28" s="8"/>
      <c r="R28" s="8"/>
      <c r="S28" s="8"/>
      <c r="T28" s="8"/>
      <c r="U28" s="8"/>
      <c r="V28" s="16"/>
    </row>
    <row r="29" spans="1:22" ht="12" hidden="1" x14ac:dyDescent="0.15">
      <c r="A29" s="6" t="s">
        <v>16</v>
      </c>
      <c r="B29" s="7" t="s">
        <v>17</v>
      </c>
      <c r="C29" s="7" t="s">
        <v>18</v>
      </c>
      <c r="D29" s="7">
        <v>36</v>
      </c>
      <c r="E29" s="8" t="s">
        <v>228</v>
      </c>
      <c r="F29" s="9">
        <v>45047</v>
      </c>
      <c r="G29" s="9">
        <v>46142</v>
      </c>
      <c r="H29" s="8">
        <v>1</v>
      </c>
      <c r="I29" s="8"/>
      <c r="J29" s="14" t="s">
        <v>35</v>
      </c>
      <c r="K29" s="14" t="s">
        <v>20</v>
      </c>
      <c r="L29" s="14" t="s">
        <v>62</v>
      </c>
      <c r="M29" s="10"/>
      <c r="N29" s="8" t="s">
        <v>21</v>
      </c>
      <c r="O29" s="8" t="str">
        <f>_xlfn.XLOOKUP(Table1[[#This Row],[Serial Number]],[1]Apr!$O:$O,[1]Apr!$F:$F)</f>
        <v>The ParQ</v>
      </c>
      <c r="P29" s="8" t="s">
        <v>375</v>
      </c>
      <c r="Q29" s="8"/>
      <c r="R29" s="8"/>
      <c r="S29" s="8"/>
      <c r="T29" s="8"/>
      <c r="U29" s="8"/>
      <c r="V29" s="16"/>
    </row>
    <row r="30" spans="1:22" ht="12" hidden="1" x14ac:dyDescent="0.15">
      <c r="A30" s="6" t="s">
        <v>16</v>
      </c>
      <c r="B30" s="7" t="s">
        <v>17</v>
      </c>
      <c r="C30" s="7" t="s">
        <v>18</v>
      </c>
      <c r="D30" s="7">
        <v>36</v>
      </c>
      <c r="E30" s="8" t="s">
        <v>228</v>
      </c>
      <c r="F30" s="9">
        <v>45047</v>
      </c>
      <c r="G30" s="9">
        <v>46142</v>
      </c>
      <c r="H30" s="8">
        <v>1</v>
      </c>
      <c r="I30" s="8"/>
      <c r="J30" s="14" t="s">
        <v>39</v>
      </c>
      <c r="K30" s="14" t="s">
        <v>20</v>
      </c>
      <c r="L30" s="14" t="s">
        <v>63</v>
      </c>
      <c r="M30" s="10"/>
      <c r="N30" s="8" t="s">
        <v>21</v>
      </c>
      <c r="O30" s="8" t="str">
        <f>_xlfn.XLOOKUP(Table1[[#This Row],[Serial Number]],[1]Apr!$O:$O,[1]Apr!$F:$F)</f>
        <v>The ParQ</v>
      </c>
      <c r="P30" s="8" t="s">
        <v>375</v>
      </c>
      <c r="Q30" s="8"/>
      <c r="R30" s="8"/>
      <c r="S30" s="8"/>
      <c r="T30" s="8"/>
      <c r="U30" s="8"/>
      <c r="V30" s="16"/>
    </row>
    <row r="31" spans="1:22" ht="12" hidden="1" x14ac:dyDescent="0.15">
      <c r="A31" s="6" t="s">
        <v>16</v>
      </c>
      <c r="B31" s="7" t="s">
        <v>17</v>
      </c>
      <c r="C31" s="7" t="s">
        <v>18</v>
      </c>
      <c r="D31" s="7">
        <v>36</v>
      </c>
      <c r="E31" s="8" t="s">
        <v>228</v>
      </c>
      <c r="F31" s="9">
        <v>45047</v>
      </c>
      <c r="G31" s="9">
        <v>46142</v>
      </c>
      <c r="H31" s="8">
        <v>1</v>
      </c>
      <c r="I31" s="8"/>
      <c r="J31" s="14" t="s">
        <v>32</v>
      </c>
      <c r="K31" s="14" t="s">
        <v>20</v>
      </c>
      <c r="L31" s="14" t="s">
        <v>64</v>
      </c>
      <c r="M31" s="10"/>
      <c r="N31" s="8" t="s">
        <v>21</v>
      </c>
      <c r="O31" s="8" t="str">
        <f>_xlfn.XLOOKUP(Table1[[#This Row],[Serial Number]],[1]Apr!$O:$O,[1]Apr!$F:$F)</f>
        <v>The ParQ</v>
      </c>
      <c r="P31" s="8" t="s">
        <v>375</v>
      </c>
      <c r="Q31" s="8"/>
      <c r="R31" s="8"/>
      <c r="S31" s="8"/>
      <c r="T31" s="8"/>
      <c r="U31" s="8"/>
      <c r="V31" s="16"/>
    </row>
    <row r="32" spans="1:22" ht="12" hidden="1" x14ac:dyDescent="0.15">
      <c r="A32" s="6" t="s">
        <v>16</v>
      </c>
      <c r="B32" s="7" t="s">
        <v>17</v>
      </c>
      <c r="C32" s="7" t="s">
        <v>18</v>
      </c>
      <c r="D32" s="7">
        <v>36</v>
      </c>
      <c r="E32" s="8" t="s">
        <v>228</v>
      </c>
      <c r="F32" s="9">
        <v>45047</v>
      </c>
      <c r="G32" s="9">
        <v>46142</v>
      </c>
      <c r="H32" s="8">
        <v>1</v>
      </c>
      <c r="I32" s="8"/>
      <c r="J32" s="14" t="s">
        <v>32</v>
      </c>
      <c r="K32" s="14" t="s">
        <v>20</v>
      </c>
      <c r="L32" s="14" t="s">
        <v>65</v>
      </c>
      <c r="M32" s="10"/>
      <c r="N32" s="8" t="s">
        <v>21</v>
      </c>
      <c r="O32" s="8" t="str">
        <f>_xlfn.XLOOKUP(Table1[[#This Row],[Serial Number]],[1]Apr!$O:$O,[1]Apr!$F:$F)</f>
        <v>The ParQ</v>
      </c>
      <c r="P32" s="8" t="s">
        <v>375</v>
      </c>
      <c r="Q32" s="8"/>
      <c r="R32" s="8"/>
      <c r="S32" s="8"/>
      <c r="T32" s="8"/>
      <c r="U32" s="8"/>
      <c r="V32" s="16"/>
    </row>
    <row r="33" spans="1:22" ht="12" hidden="1" x14ac:dyDescent="0.15">
      <c r="A33" s="6" t="s">
        <v>16</v>
      </c>
      <c r="B33" s="7" t="s">
        <v>17</v>
      </c>
      <c r="C33" s="7" t="s">
        <v>18</v>
      </c>
      <c r="D33" s="7">
        <v>36</v>
      </c>
      <c r="E33" s="8" t="s">
        <v>228</v>
      </c>
      <c r="F33" s="9">
        <v>45047</v>
      </c>
      <c r="G33" s="9">
        <v>46142</v>
      </c>
      <c r="H33" s="8">
        <v>1</v>
      </c>
      <c r="I33" s="8"/>
      <c r="J33" s="14" t="s">
        <v>32</v>
      </c>
      <c r="K33" s="14" t="s">
        <v>20</v>
      </c>
      <c r="L33" s="14" t="s">
        <v>66</v>
      </c>
      <c r="M33" s="10"/>
      <c r="N33" s="8" t="s">
        <v>21</v>
      </c>
      <c r="O33" s="8" t="str">
        <f>_xlfn.XLOOKUP(Table1[[#This Row],[Serial Number]],[1]Apr!$O:$O,[1]Apr!$F:$F)</f>
        <v>The ParQ</v>
      </c>
      <c r="P33" s="8" t="s">
        <v>375</v>
      </c>
      <c r="Q33" s="8"/>
      <c r="R33" s="8"/>
      <c r="S33" s="8"/>
      <c r="T33" s="8"/>
      <c r="U33" s="8"/>
      <c r="V33" s="16"/>
    </row>
    <row r="34" spans="1:22" ht="12" hidden="1" x14ac:dyDescent="0.15">
      <c r="A34" s="6" t="s">
        <v>16</v>
      </c>
      <c r="B34" s="7" t="s">
        <v>17</v>
      </c>
      <c r="C34" s="7" t="s">
        <v>18</v>
      </c>
      <c r="D34" s="7">
        <v>36</v>
      </c>
      <c r="E34" s="8" t="s">
        <v>228</v>
      </c>
      <c r="F34" s="9">
        <v>45047</v>
      </c>
      <c r="G34" s="9">
        <v>46142</v>
      </c>
      <c r="H34" s="8">
        <v>1</v>
      </c>
      <c r="I34" s="8"/>
      <c r="J34" s="14" t="s">
        <v>67</v>
      </c>
      <c r="K34" s="14" t="s">
        <v>20</v>
      </c>
      <c r="L34" s="14" t="s">
        <v>68</v>
      </c>
      <c r="M34" s="10"/>
      <c r="N34" s="8" t="s">
        <v>21</v>
      </c>
      <c r="O34" s="8" t="str">
        <f>_xlfn.XLOOKUP(Table1[[#This Row],[Serial Number]],[1]Apr!$O:$O,[1]Apr!$F:$F)</f>
        <v>The ParQ</v>
      </c>
      <c r="P34" s="8" t="s">
        <v>375</v>
      </c>
      <c r="Q34" s="8"/>
      <c r="R34" s="8"/>
      <c r="S34" s="8"/>
      <c r="T34" s="8"/>
      <c r="U34" s="8"/>
      <c r="V34" s="16"/>
    </row>
    <row r="35" spans="1:22" ht="12" hidden="1" x14ac:dyDescent="0.15">
      <c r="A35" s="6" t="s">
        <v>16</v>
      </c>
      <c r="B35" s="7" t="s">
        <v>17</v>
      </c>
      <c r="C35" s="7" t="s">
        <v>18</v>
      </c>
      <c r="D35" s="7">
        <v>36</v>
      </c>
      <c r="E35" s="8" t="s">
        <v>228</v>
      </c>
      <c r="F35" s="9">
        <v>45047</v>
      </c>
      <c r="G35" s="9">
        <v>46142</v>
      </c>
      <c r="H35" s="8">
        <v>1</v>
      </c>
      <c r="I35" s="8"/>
      <c r="J35" s="14" t="s">
        <v>35</v>
      </c>
      <c r="K35" s="14" t="s">
        <v>20</v>
      </c>
      <c r="L35" s="14" t="s">
        <v>69</v>
      </c>
      <c r="M35" s="10"/>
      <c r="N35" s="8" t="s">
        <v>21</v>
      </c>
      <c r="O35" s="8" t="str">
        <f>_xlfn.XLOOKUP(Table1[[#This Row],[Serial Number]],[1]Apr!$O:$O,[1]Apr!$F:$F)</f>
        <v>The ParQ</v>
      </c>
      <c r="P35" s="8" t="s">
        <v>375</v>
      </c>
      <c r="Q35" s="8"/>
      <c r="R35" s="8"/>
      <c r="S35" s="8"/>
      <c r="T35" s="8"/>
      <c r="U35" s="8"/>
      <c r="V35" s="16"/>
    </row>
    <row r="36" spans="1:22" ht="12" hidden="1" x14ac:dyDescent="0.15">
      <c r="A36" s="6" t="s">
        <v>16</v>
      </c>
      <c r="B36" s="7" t="s">
        <v>17</v>
      </c>
      <c r="C36" s="7" t="s">
        <v>18</v>
      </c>
      <c r="D36" s="7">
        <v>36</v>
      </c>
      <c r="E36" s="8" t="s">
        <v>228</v>
      </c>
      <c r="F36" s="9">
        <v>45047</v>
      </c>
      <c r="G36" s="9">
        <v>46142</v>
      </c>
      <c r="H36" s="8">
        <v>1</v>
      </c>
      <c r="I36" s="8"/>
      <c r="J36" s="14" t="s">
        <v>39</v>
      </c>
      <c r="K36" s="14" t="s">
        <v>20</v>
      </c>
      <c r="L36" s="14" t="s">
        <v>70</v>
      </c>
      <c r="M36" s="10"/>
      <c r="N36" s="8" t="s">
        <v>21</v>
      </c>
      <c r="O36" s="8" t="str">
        <f>_xlfn.XLOOKUP(Table1[[#This Row],[Serial Number]],[1]Apr!$O:$O,[1]Apr!$F:$F)</f>
        <v>The ParQ</v>
      </c>
      <c r="P36" s="8" t="s">
        <v>375</v>
      </c>
      <c r="Q36" s="8"/>
      <c r="R36" s="8"/>
      <c r="S36" s="8"/>
      <c r="T36" s="8"/>
      <c r="U36" s="8"/>
      <c r="V36" s="16"/>
    </row>
    <row r="37" spans="1:22" ht="12" hidden="1" x14ac:dyDescent="0.15">
      <c r="A37" s="6" t="s">
        <v>16</v>
      </c>
      <c r="B37" s="7" t="s">
        <v>17</v>
      </c>
      <c r="C37" s="7" t="s">
        <v>18</v>
      </c>
      <c r="D37" s="7">
        <v>36</v>
      </c>
      <c r="E37" s="8" t="s">
        <v>228</v>
      </c>
      <c r="F37" s="9">
        <v>45047</v>
      </c>
      <c r="G37" s="9">
        <v>46142</v>
      </c>
      <c r="H37" s="8">
        <v>1</v>
      </c>
      <c r="I37" s="8"/>
      <c r="J37" s="14" t="s">
        <v>35</v>
      </c>
      <c r="K37" s="14" t="s">
        <v>20</v>
      </c>
      <c r="L37" s="14" t="s">
        <v>71</v>
      </c>
      <c r="M37" s="10"/>
      <c r="N37" s="8" t="s">
        <v>21</v>
      </c>
      <c r="O37" s="8" t="str">
        <f>_xlfn.XLOOKUP(Table1[[#This Row],[Serial Number]],[1]Apr!$O:$O,[1]Apr!$F:$F)</f>
        <v>The ParQ</v>
      </c>
      <c r="P37" s="8" t="s">
        <v>375</v>
      </c>
      <c r="Q37" s="8"/>
      <c r="R37" s="8"/>
      <c r="S37" s="8"/>
      <c r="T37" s="8"/>
      <c r="U37" s="8"/>
      <c r="V37" s="16"/>
    </row>
    <row r="38" spans="1:22" ht="12" hidden="1" x14ac:dyDescent="0.15">
      <c r="A38" s="6" t="s">
        <v>16</v>
      </c>
      <c r="B38" s="7" t="s">
        <v>17</v>
      </c>
      <c r="C38" s="7" t="s">
        <v>18</v>
      </c>
      <c r="D38" s="7">
        <v>36</v>
      </c>
      <c r="E38" s="8" t="s">
        <v>228</v>
      </c>
      <c r="F38" s="9">
        <v>45047</v>
      </c>
      <c r="G38" s="9">
        <v>46142</v>
      </c>
      <c r="H38" s="8">
        <v>1</v>
      </c>
      <c r="I38" s="8"/>
      <c r="J38" s="14" t="s">
        <v>67</v>
      </c>
      <c r="K38" s="14" t="s">
        <v>20</v>
      </c>
      <c r="L38" s="14" t="s">
        <v>72</v>
      </c>
      <c r="M38" s="10"/>
      <c r="N38" s="8" t="s">
        <v>21</v>
      </c>
      <c r="O38" s="8" t="str">
        <f>_xlfn.XLOOKUP(Table1[[#This Row],[Serial Number]],[1]Apr!$O:$O,[1]Apr!$F:$F)</f>
        <v>The ParQ</v>
      </c>
      <c r="P38" s="8" t="s">
        <v>375</v>
      </c>
      <c r="Q38" s="8"/>
      <c r="R38" s="8"/>
      <c r="S38" s="8"/>
      <c r="T38" s="8"/>
      <c r="U38" s="8"/>
      <c r="V38" s="16"/>
    </row>
    <row r="39" spans="1:22" ht="12" hidden="1" x14ac:dyDescent="0.15">
      <c r="A39" s="6" t="s">
        <v>16</v>
      </c>
      <c r="B39" s="7" t="s">
        <v>17</v>
      </c>
      <c r="C39" s="7" t="s">
        <v>18</v>
      </c>
      <c r="D39" s="7">
        <v>36</v>
      </c>
      <c r="E39" s="8" t="s">
        <v>228</v>
      </c>
      <c r="F39" s="9">
        <v>45047</v>
      </c>
      <c r="G39" s="9">
        <v>46142</v>
      </c>
      <c r="H39" s="8">
        <v>1</v>
      </c>
      <c r="I39" s="8"/>
      <c r="J39" s="14" t="s">
        <v>35</v>
      </c>
      <c r="K39" s="14" t="s">
        <v>20</v>
      </c>
      <c r="L39" s="14" t="s">
        <v>73</v>
      </c>
      <c r="M39" s="10"/>
      <c r="N39" s="8" t="s">
        <v>21</v>
      </c>
      <c r="O39" s="8" t="str">
        <f>_xlfn.XLOOKUP(Table1[[#This Row],[Serial Number]],[1]Apr!$O:$O,[1]Apr!$F:$F)</f>
        <v>The ParQ</v>
      </c>
      <c r="P39" s="8" t="s">
        <v>375</v>
      </c>
      <c r="Q39" s="8"/>
      <c r="R39" s="8"/>
      <c r="S39" s="8"/>
      <c r="T39" s="8"/>
      <c r="U39" s="8"/>
      <c r="V39" s="16"/>
    </row>
    <row r="40" spans="1:22" ht="12" hidden="1" x14ac:dyDescent="0.15">
      <c r="A40" s="6" t="s">
        <v>16</v>
      </c>
      <c r="B40" s="7" t="s">
        <v>17</v>
      </c>
      <c r="C40" s="7" t="s">
        <v>18</v>
      </c>
      <c r="D40" s="7">
        <v>36</v>
      </c>
      <c r="E40" s="8" t="s">
        <v>228</v>
      </c>
      <c r="F40" s="9">
        <v>45047</v>
      </c>
      <c r="G40" s="9">
        <v>46142</v>
      </c>
      <c r="H40" s="8">
        <v>1</v>
      </c>
      <c r="I40" s="8"/>
      <c r="J40" s="14" t="s">
        <v>35</v>
      </c>
      <c r="K40" s="14" t="s">
        <v>20</v>
      </c>
      <c r="L40" s="14" t="s">
        <v>74</v>
      </c>
      <c r="M40" s="10"/>
      <c r="N40" s="8" t="s">
        <v>21</v>
      </c>
      <c r="O40" s="8" t="str">
        <f>_xlfn.XLOOKUP(Table1[[#This Row],[Serial Number]],[1]Apr!$O:$O,[1]Apr!$F:$F)</f>
        <v>The ParQ</v>
      </c>
      <c r="P40" s="8" t="s">
        <v>375</v>
      </c>
      <c r="Q40" s="8"/>
      <c r="R40" s="8"/>
      <c r="S40" s="8"/>
      <c r="T40" s="8"/>
      <c r="U40" s="8"/>
      <c r="V40" s="16"/>
    </row>
    <row r="41" spans="1:22" ht="12" hidden="1" x14ac:dyDescent="0.15">
      <c r="A41" s="6" t="s">
        <v>16</v>
      </c>
      <c r="B41" s="7" t="s">
        <v>17</v>
      </c>
      <c r="C41" s="7" t="s">
        <v>18</v>
      </c>
      <c r="D41" s="7">
        <v>36</v>
      </c>
      <c r="E41" s="8" t="s">
        <v>228</v>
      </c>
      <c r="F41" s="9">
        <v>45047</v>
      </c>
      <c r="G41" s="9">
        <v>46142</v>
      </c>
      <c r="H41" s="8">
        <v>1</v>
      </c>
      <c r="I41" s="8"/>
      <c r="J41" s="14" t="s">
        <v>32</v>
      </c>
      <c r="K41" s="14" t="s">
        <v>20</v>
      </c>
      <c r="L41" s="14" t="s">
        <v>75</v>
      </c>
      <c r="M41" s="10"/>
      <c r="N41" s="8" t="s">
        <v>21</v>
      </c>
      <c r="O41" s="8" t="str">
        <f>_xlfn.XLOOKUP(Table1[[#This Row],[Serial Number]],[1]Apr!$O:$O,[1]Apr!$F:$F)</f>
        <v>The ParQ</v>
      </c>
      <c r="P41" s="8" t="s">
        <v>375</v>
      </c>
      <c r="Q41" s="8"/>
      <c r="R41" s="8"/>
      <c r="S41" s="8"/>
      <c r="T41" s="8"/>
      <c r="U41" s="8"/>
      <c r="V41" s="16"/>
    </row>
    <row r="42" spans="1:22" ht="12" x14ac:dyDescent="0.15">
      <c r="A42" s="6" t="s">
        <v>16</v>
      </c>
      <c r="B42" s="7" t="s">
        <v>17</v>
      </c>
      <c r="C42" s="7" t="s">
        <v>18</v>
      </c>
      <c r="D42" s="7">
        <v>36</v>
      </c>
      <c r="E42" s="8" t="s">
        <v>228</v>
      </c>
      <c r="F42" s="9">
        <v>45047</v>
      </c>
      <c r="G42" s="9">
        <v>46142</v>
      </c>
      <c r="H42" s="8">
        <v>1</v>
      </c>
      <c r="I42" s="8"/>
      <c r="J42" s="14" t="s">
        <v>67</v>
      </c>
      <c r="K42" s="14" t="s">
        <v>20</v>
      </c>
      <c r="L42" s="14" t="s">
        <v>76</v>
      </c>
      <c r="M42" s="10"/>
      <c r="N42" s="8" t="s">
        <v>21</v>
      </c>
      <c r="O42" s="8" t="str">
        <f>_xlfn.XLOOKUP(Table1[[#This Row],[Serial Number]],[1]Apr!$O:$O,[1]Apr!$F:$F)</f>
        <v>Minor Dairy Limited</v>
      </c>
      <c r="P42" s="8" t="s">
        <v>377</v>
      </c>
      <c r="Q42" s="46" t="s">
        <v>390</v>
      </c>
      <c r="R42" s="8" t="str">
        <f>Table1[[#This Row],[Collection City (Required)]]</f>
        <v>Minor Dairy Limited</v>
      </c>
      <c r="S42" s="8" t="str">
        <f>_xlfn.XLOOKUP(Table1[[#This Row],[Serial Number]],[2]Summary!$B:$B,[2]Summary!$I:$I,0)</f>
        <v>OK</v>
      </c>
      <c r="T42" s="48">
        <v>46147</v>
      </c>
      <c r="U42" s="8"/>
      <c r="V42" s="16"/>
    </row>
    <row r="43" spans="1:22" ht="12" hidden="1" x14ac:dyDescent="0.15">
      <c r="A43" s="6" t="s">
        <v>16</v>
      </c>
      <c r="B43" s="7" t="s">
        <v>17</v>
      </c>
      <c r="C43" s="7" t="s">
        <v>18</v>
      </c>
      <c r="D43" s="7">
        <v>36</v>
      </c>
      <c r="E43" s="8" t="s">
        <v>228</v>
      </c>
      <c r="F43" s="9">
        <v>45047</v>
      </c>
      <c r="G43" s="9">
        <v>46142</v>
      </c>
      <c r="H43" s="8">
        <v>1</v>
      </c>
      <c r="I43" s="8"/>
      <c r="J43" s="14" t="s">
        <v>35</v>
      </c>
      <c r="K43" s="14" t="s">
        <v>20</v>
      </c>
      <c r="L43" s="14" t="s">
        <v>77</v>
      </c>
      <c r="M43" s="10"/>
      <c r="N43" s="8" t="s">
        <v>21</v>
      </c>
      <c r="O43" s="8" t="str">
        <f>_xlfn.XLOOKUP(Table1[[#This Row],[Serial Number]],[1]Apr!$O:$O,[1]Apr!$F:$F)</f>
        <v>The ParQ</v>
      </c>
      <c r="P43" s="8" t="s">
        <v>375</v>
      </c>
      <c r="Q43" s="8"/>
      <c r="R43" s="8"/>
      <c r="S43" s="8"/>
      <c r="T43" s="8"/>
      <c r="U43" s="8"/>
      <c r="V43" s="16"/>
    </row>
    <row r="44" spans="1:22" ht="12" hidden="1" x14ac:dyDescent="0.15">
      <c r="A44" s="6" t="s">
        <v>16</v>
      </c>
      <c r="B44" s="7" t="s">
        <v>17</v>
      </c>
      <c r="C44" s="7" t="s">
        <v>18</v>
      </c>
      <c r="D44" s="7">
        <v>36</v>
      </c>
      <c r="E44" s="8" t="s">
        <v>228</v>
      </c>
      <c r="F44" s="9">
        <v>45047</v>
      </c>
      <c r="G44" s="9">
        <v>46142</v>
      </c>
      <c r="H44" s="8">
        <v>1</v>
      </c>
      <c r="I44" s="8"/>
      <c r="J44" s="14" t="s">
        <v>67</v>
      </c>
      <c r="K44" s="14" t="s">
        <v>20</v>
      </c>
      <c r="L44" s="14" t="s">
        <v>78</v>
      </c>
      <c r="M44" s="10"/>
      <c r="N44" s="8" t="s">
        <v>21</v>
      </c>
      <c r="O44" s="8" t="str">
        <f>_xlfn.XLOOKUP(Table1[[#This Row],[Serial Number]],[1]Apr!$O:$O,[1]Apr!$F:$F)</f>
        <v>The ParQ</v>
      </c>
      <c r="P44" s="8" t="s">
        <v>375</v>
      </c>
      <c r="Q44" s="8"/>
      <c r="R44" s="8"/>
      <c r="S44" s="8"/>
      <c r="T44" s="8"/>
      <c r="U44" s="8"/>
      <c r="V44" s="16"/>
    </row>
    <row r="45" spans="1:22" ht="12" hidden="1" x14ac:dyDescent="0.15">
      <c r="A45" s="6" t="s">
        <v>16</v>
      </c>
      <c r="B45" s="7" t="s">
        <v>17</v>
      </c>
      <c r="C45" s="7" t="s">
        <v>18</v>
      </c>
      <c r="D45" s="7">
        <v>36</v>
      </c>
      <c r="E45" s="8" t="s">
        <v>228</v>
      </c>
      <c r="F45" s="9">
        <v>45047</v>
      </c>
      <c r="G45" s="9">
        <v>46142</v>
      </c>
      <c r="H45" s="8">
        <v>1</v>
      </c>
      <c r="I45" s="8"/>
      <c r="J45" s="14" t="s">
        <v>35</v>
      </c>
      <c r="K45" s="14" t="s">
        <v>20</v>
      </c>
      <c r="L45" s="14" t="s">
        <v>79</v>
      </c>
      <c r="M45" s="10"/>
      <c r="N45" s="8" t="s">
        <v>21</v>
      </c>
      <c r="O45" s="8" t="str">
        <f>_xlfn.XLOOKUP(Table1[[#This Row],[Serial Number]],[1]Apr!$O:$O,[1]Apr!$F:$F)</f>
        <v>The ParQ</v>
      </c>
      <c r="P45" s="8" t="s">
        <v>375</v>
      </c>
      <c r="Q45" s="8"/>
      <c r="R45" s="8"/>
      <c r="S45" s="8"/>
      <c r="T45" s="8"/>
      <c r="U45" s="8"/>
      <c r="V45" s="16"/>
    </row>
    <row r="46" spans="1:22" ht="12" hidden="1" x14ac:dyDescent="0.15">
      <c r="A46" s="6" t="s">
        <v>16</v>
      </c>
      <c r="B46" s="7" t="s">
        <v>17</v>
      </c>
      <c r="C46" s="7" t="s">
        <v>18</v>
      </c>
      <c r="D46" s="7">
        <v>36</v>
      </c>
      <c r="E46" s="8" t="s">
        <v>228</v>
      </c>
      <c r="F46" s="9">
        <v>45047</v>
      </c>
      <c r="G46" s="9">
        <v>46142</v>
      </c>
      <c r="H46" s="8">
        <v>1</v>
      </c>
      <c r="I46" s="8"/>
      <c r="J46" s="14" t="s">
        <v>35</v>
      </c>
      <c r="K46" s="14" t="s">
        <v>20</v>
      </c>
      <c r="L46" s="14" t="s">
        <v>80</v>
      </c>
      <c r="M46" s="10"/>
      <c r="N46" s="8" t="s">
        <v>21</v>
      </c>
      <c r="O46" s="8" t="s">
        <v>22</v>
      </c>
      <c r="P46" s="8" t="s">
        <v>375</v>
      </c>
      <c r="Q46" s="8"/>
      <c r="R46" s="8"/>
      <c r="S46" s="8"/>
      <c r="T46" s="8"/>
      <c r="U46" s="8"/>
      <c r="V46" s="16"/>
    </row>
    <row r="47" spans="1:22" ht="12" hidden="1" x14ac:dyDescent="0.15">
      <c r="A47" s="6" t="s">
        <v>16</v>
      </c>
      <c r="B47" s="7" t="s">
        <v>17</v>
      </c>
      <c r="C47" s="7" t="s">
        <v>18</v>
      </c>
      <c r="D47" s="7">
        <v>36</v>
      </c>
      <c r="E47" s="8" t="s">
        <v>228</v>
      </c>
      <c r="F47" s="9">
        <v>45047</v>
      </c>
      <c r="G47" s="9">
        <v>46142</v>
      </c>
      <c r="H47" s="8">
        <v>1</v>
      </c>
      <c r="I47" s="8"/>
      <c r="J47" s="14" t="s">
        <v>35</v>
      </c>
      <c r="K47" s="14" t="s">
        <v>20</v>
      </c>
      <c r="L47" s="14" t="s">
        <v>81</v>
      </c>
      <c r="M47" s="10"/>
      <c r="N47" s="8" t="s">
        <v>21</v>
      </c>
      <c r="O47" s="8" t="str">
        <f>_xlfn.XLOOKUP(Table1[[#This Row],[Serial Number]],[1]Apr!$O:$O,[1]Apr!$F:$F)</f>
        <v>The ParQ</v>
      </c>
      <c r="P47" s="8" t="s">
        <v>375</v>
      </c>
      <c r="Q47" s="8"/>
      <c r="R47" s="8"/>
      <c r="S47" s="8"/>
      <c r="T47" s="8"/>
      <c r="U47" s="8"/>
      <c r="V47" s="16"/>
    </row>
    <row r="48" spans="1:22" ht="12" hidden="1" x14ac:dyDescent="0.15">
      <c r="A48" s="6" t="s">
        <v>16</v>
      </c>
      <c r="B48" s="7" t="s">
        <v>17</v>
      </c>
      <c r="C48" s="7" t="s">
        <v>18</v>
      </c>
      <c r="D48" s="7">
        <v>36</v>
      </c>
      <c r="E48" s="8" t="s">
        <v>228</v>
      </c>
      <c r="F48" s="9">
        <v>45047</v>
      </c>
      <c r="G48" s="9">
        <v>46142</v>
      </c>
      <c r="H48" s="8">
        <v>1</v>
      </c>
      <c r="I48" s="8"/>
      <c r="J48" s="14" t="s">
        <v>35</v>
      </c>
      <c r="K48" s="14" t="s">
        <v>20</v>
      </c>
      <c r="L48" s="14" t="s">
        <v>82</v>
      </c>
      <c r="M48" s="10"/>
      <c r="N48" s="8" t="s">
        <v>21</v>
      </c>
      <c r="O48" s="8" t="str">
        <f>_xlfn.XLOOKUP(Table1[[#This Row],[Serial Number]],[1]Apr!$O:$O,[1]Apr!$F:$F)</f>
        <v>The ParQ</v>
      </c>
      <c r="P48" s="8" t="s">
        <v>375</v>
      </c>
      <c r="Q48" s="8"/>
      <c r="R48" s="8"/>
      <c r="S48" s="8"/>
      <c r="T48" s="8"/>
      <c r="U48" s="8"/>
      <c r="V48" s="16"/>
    </row>
    <row r="49" spans="1:22" ht="12" hidden="1" x14ac:dyDescent="0.15">
      <c r="A49" s="6" t="s">
        <v>16</v>
      </c>
      <c r="B49" s="7" t="s">
        <v>17</v>
      </c>
      <c r="C49" s="7" t="s">
        <v>18</v>
      </c>
      <c r="D49" s="7">
        <v>36</v>
      </c>
      <c r="E49" s="8" t="s">
        <v>228</v>
      </c>
      <c r="F49" s="9">
        <v>45047</v>
      </c>
      <c r="G49" s="9">
        <v>46142</v>
      </c>
      <c r="H49" s="8">
        <v>1</v>
      </c>
      <c r="I49" s="8"/>
      <c r="J49" s="14" t="s">
        <v>35</v>
      </c>
      <c r="K49" s="14" t="s">
        <v>20</v>
      </c>
      <c r="L49" s="14" t="s">
        <v>83</v>
      </c>
      <c r="M49" s="10"/>
      <c r="N49" s="8" t="s">
        <v>21</v>
      </c>
      <c r="O49" s="8" t="str">
        <f>_xlfn.XLOOKUP(Table1[[#This Row],[Serial Number]],[1]Apr!$O:$O,[1]Apr!$F:$F)</f>
        <v>The ParQ</v>
      </c>
      <c r="P49" s="8" t="s">
        <v>375</v>
      </c>
      <c r="Q49" s="8"/>
      <c r="R49" s="8"/>
      <c r="S49" s="8"/>
      <c r="T49" s="8"/>
      <c r="U49" s="8"/>
      <c r="V49" s="16"/>
    </row>
    <row r="50" spans="1:22" ht="12" hidden="1" x14ac:dyDescent="0.15">
      <c r="A50" s="6" t="s">
        <v>16</v>
      </c>
      <c r="B50" s="7" t="s">
        <v>17</v>
      </c>
      <c r="C50" s="7" t="s">
        <v>18</v>
      </c>
      <c r="D50" s="7">
        <v>36</v>
      </c>
      <c r="E50" s="8" t="s">
        <v>228</v>
      </c>
      <c r="F50" s="9">
        <v>45047</v>
      </c>
      <c r="G50" s="9">
        <v>46142</v>
      </c>
      <c r="H50" s="8">
        <v>1</v>
      </c>
      <c r="I50" s="8"/>
      <c r="J50" s="14" t="s">
        <v>35</v>
      </c>
      <c r="K50" s="14" t="s">
        <v>20</v>
      </c>
      <c r="L50" s="14" t="s">
        <v>84</v>
      </c>
      <c r="M50" s="10"/>
      <c r="N50" s="8" t="s">
        <v>21</v>
      </c>
      <c r="O50" s="8" t="str">
        <f>_xlfn.XLOOKUP(Table1[[#This Row],[Serial Number]],[1]Apr!$O:$O,[1]Apr!$F:$F)</f>
        <v>The ParQ</v>
      </c>
      <c r="P50" s="8" t="s">
        <v>375</v>
      </c>
      <c r="Q50" s="8"/>
      <c r="R50" s="8"/>
      <c r="S50" s="8"/>
      <c r="T50" s="8"/>
      <c r="U50" s="8"/>
      <c r="V50" s="16"/>
    </row>
    <row r="51" spans="1:22" ht="12" hidden="1" x14ac:dyDescent="0.15">
      <c r="A51" s="6" t="s">
        <v>16</v>
      </c>
      <c r="B51" s="7" t="s">
        <v>17</v>
      </c>
      <c r="C51" s="7" t="s">
        <v>18</v>
      </c>
      <c r="D51" s="7">
        <v>36</v>
      </c>
      <c r="E51" s="8" t="s">
        <v>228</v>
      </c>
      <c r="F51" s="9">
        <v>45047</v>
      </c>
      <c r="G51" s="9">
        <v>46142</v>
      </c>
      <c r="H51" s="8">
        <v>1</v>
      </c>
      <c r="I51" s="8"/>
      <c r="J51" s="14" t="s">
        <v>35</v>
      </c>
      <c r="K51" s="14" t="s">
        <v>20</v>
      </c>
      <c r="L51" s="14" t="s">
        <v>85</v>
      </c>
      <c r="M51" s="10"/>
      <c r="N51" s="8" t="s">
        <v>21</v>
      </c>
      <c r="O51" s="8" t="s">
        <v>22</v>
      </c>
      <c r="P51" s="8" t="s">
        <v>375</v>
      </c>
      <c r="Q51" s="8"/>
      <c r="R51" s="8"/>
      <c r="S51" s="8"/>
      <c r="T51" s="8"/>
      <c r="U51" s="8"/>
      <c r="V51" s="16"/>
    </row>
    <row r="52" spans="1:22" ht="12" hidden="1" x14ac:dyDescent="0.15">
      <c r="A52" s="6" t="s">
        <v>16</v>
      </c>
      <c r="B52" s="7" t="s">
        <v>17</v>
      </c>
      <c r="C52" s="7" t="s">
        <v>18</v>
      </c>
      <c r="D52" s="7">
        <v>36</v>
      </c>
      <c r="E52" s="8" t="s">
        <v>228</v>
      </c>
      <c r="F52" s="9">
        <v>45047</v>
      </c>
      <c r="G52" s="9">
        <v>46142</v>
      </c>
      <c r="H52" s="8">
        <v>1</v>
      </c>
      <c r="I52" s="8"/>
      <c r="J52" s="14" t="s">
        <v>35</v>
      </c>
      <c r="K52" s="14" t="s">
        <v>20</v>
      </c>
      <c r="L52" s="14" t="s">
        <v>86</v>
      </c>
      <c r="M52" s="10"/>
      <c r="N52" s="8" t="s">
        <v>21</v>
      </c>
      <c r="O52" s="8" t="s">
        <v>22</v>
      </c>
      <c r="P52" s="8" t="s">
        <v>375</v>
      </c>
      <c r="Q52" s="8"/>
      <c r="R52" s="8"/>
      <c r="S52" s="8"/>
      <c r="T52" s="8"/>
      <c r="U52" s="8"/>
      <c r="V52" s="16"/>
    </row>
    <row r="53" spans="1:22" ht="12" hidden="1" x14ac:dyDescent="0.15">
      <c r="A53" s="6" t="s">
        <v>16</v>
      </c>
      <c r="B53" s="7" t="s">
        <v>17</v>
      </c>
      <c r="C53" s="7" t="s">
        <v>18</v>
      </c>
      <c r="D53" s="7">
        <v>36</v>
      </c>
      <c r="E53" s="8" t="s">
        <v>228</v>
      </c>
      <c r="F53" s="9">
        <v>45047</v>
      </c>
      <c r="G53" s="9">
        <v>46142</v>
      </c>
      <c r="H53" s="8">
        <v>1</v>
      </c>
      <c r="I53" s="8"/>
      <c r="J53" s="14" t="s">
        <v>35</v>
      </c>
      <c r="K53" s="14" t="s">
        <v>20</v>
      </c>
      <c r="L53" s="14" t="s">
        <v>87</v>
      </c>
      <c r="M53" s="10"/>
      <c r="N53" s="8" t="s">
        <v>21</v>
      </c>
      <c r="O53" s="8" t="str">
        <f>_xlfn.XLOOKUP(Table1[[#This Row],[Serial Number]],[1]Apr!$O:$O,[1]Apr!$F:$F)</f>
        <v>The ParQ</v>
      </c>
      <c r="P53" s="8" t="s">
        <v>375</v>
      </c>
      <c r="Q53" s="8"/>
      <c r="R53" s="8"/>
      <c r="S53" s="8"/>
      <c r="T53" s="8"/>
      <c r="U53" s="8"/>
      <c r="V53" s="16"/>
    </row>
    <row r="54" spans="1:22" ht="12" hidden="1" x14ac:dyDescent="0.15">
      <c r="A54" s="6" t="s">
        <v>16</v>
      </c>
      <c r="B54" s="7" t="s">
        <v>17</v>
      </c>
      <c r="C54" s="7" t="s">
        <v>18</v>
      </c>
      <c r="D54" s="7">
        <v>36</v>
      </c>
      <c r="E54" s="8" t="s">
        <v>228</v>
      </c>
      <c r="F54" s="9">
        <v>45047</v>
      </c>
      <c r="G54" s="9">
        <v>46142</v>
      </c>
      <c r="H54" s="8">
        <v>1</v>
      </c>
      <c r="I54" s="8"/>
      <c r="J54" s="14" t="s">
        <v>67</v>
      </c>
      <c r="K54" s="14" t="s">
        <v>20</v>
      </c>
      <c r="L54" s="14" t="s">
        <v>88</v>
      </c>
      <c r="M54" s="10"/>
      <c r="N54" s="8" t="s">
        <v>21</v>
      </c>
      <c r="O54" s="8" t="str">
        <f>_xlfn.XLOOKUP(Table1[[#This Row],[Serial Number]],[1]Apr!$O:$O,[1]Apr!$F:$F)</f>
        <v>The ParQ</v>
      </c>
      <c r="P54" s="8" t="s">
        <v>375</v>
      </c>
      <c r="Q54" s="8"/>
      <c r="R54" s="8"/>
      <c r="S54" s="8"/>
      <c r="T54" s="8"/>
      <c r="U54" s="8"/>
      <c r="V54" s="16"/>
    </row>
    <row r="55" spans="1:22" ht="12" x14ac:dyDescent="0.15">
      <c r="A55" s="6" t="s">
        <v>16</v>
      </c>
      <c r="B55" s="7" t="s">
        <v>17</v>
      </c>
      <c r="C55" s="7" t="s">
        <v>18</v>
      </c>
      <c r="D55" s="7">
        <v>36</v>
      </c>
      <c r="E55" s="8" t="s">
        <v>228</v>
      </c>
      <c r="F55" s="9">
        <v>45047</v>
      </c>
      <c r="G55" s="9">
        <v>46142</v>
      </c>
      <c r="H55" s="8">
        <v>1</v>
      </c>
      <c r="I55" s="8"/>
      <c r="J55" s="14" t="s">
        <v>89</v>
      </c>
      <c r="K55" s="14" t="s">
        <v>20</v>
      </c>
      <c r="L55" s="14" t="s">
        <v>90</v>
      </c>
      <c r="M55" s="10"/>
      <c r="N55" s="8" t="s">
        <v>21</v>
      </c>
      <c r="O55" s="8" t="str">
        <f>_xlfn.XLOOKUP(Table1[[#This Row],[Serial Number]],[1]Apr!$O:$O,[1]Apr!$F:$F)</f>
        <v>Anantara Vacation Club Phuket</v>
      </c>
      <c r="P55" s="8" t="s">
        <v>377</v>
      </c>
      <c r="Q55" s="46" t="s">
        <v>384</v>
      </c>
      <c r="R55" s="8"/>
      <c r="S55" s="8"/>
      <c r="T55" s="48"/>
      <c r="U55" s="8"/>
      <c r="V55" s="16"/>
    </row>
    <row r="56" spans="1:22" ht="12" hidden="1" x14ac:dyDescent="0.15">
      <c r="A56" s="6" t="s">
        <v>16</v>
      </c>
      <c r="B56" s="7" t="s">
        <v>17</v>
      </c>
      <c r="C56" s="7" t="s">
        <v>18</v>
      </c>
      <c r="D56" s="7">
        <v>36</v>
      </c>
      <c r="E56" s="8" t="s">
        <v>228</v>
      </c>
      <c r="F56" s="9">
        <v>45047</v>
      </c>
      <c r="G56" s="9">
        <v>46142</v>
      </c>
      <c r="H56" s="8">
        <v>1</v>
      </c>
      <c r="I56" s="8"/>
      <c r="J56" s="14" t="s">
        <v>89</v>
      </c>
      <c r="K56" s="14" t="s">
        <v>20</v>
      </c>
      <c r="L56" s="14" t="s">
        <v>91</v>
      </c>
      <c r="M56" s="10"/>
      <c r="N56" s="8" t="s">
        <v>21</v>
      </c>
      <c r="O56" s="8" t="str">
        <f>_xlfn.XLOOKUP(Table1[[#This Row],[Serial Number]],[1]Apr!$O:$O,[1]Apr!$F:$F)</f>
        <v>Anantara Siam Bangkok Hotel</v>
      </c>
      <c r="P56" s="8" t="s">
        <v>375</v>
      </c>
      <c r="Q56" s="8"/>
      <c r="R56" s="8"/>
      <c r="S56" s="8"/>
      <c r="T56" s="8"/>
      <c r="U56" s="8"/>
      <c r="V56" s="16"/>
    </row>
    <row r="57" spans="1:22" ht="12" hidden="1" x14ac:dyDescent="0.15">
      <c r="A57" s="6" t="s">
        <v>16</v>
      </c>
      <c r="B57" s="7" t="s">
        <v>17</v>
      </c>
      <c r="C57" s="7" t="s">
        <v>18</v>
      </c>
      <c r="D57" s="7">
        <v>36</v>
      </c>
      <c r="E57" s="8" t="s">
        <v>228</v>
      </c>
      <c r="F57" s="9">
        <v>45047</v>
      </c>
      <c r="G57" s="9">
        <v>46142</v>
      </c>
      <c r="H57" s="8">
        <v>1</v>
      </c>
      <c r="I57" s="8"/>
      <c r="J57" s="14" t="s">
        <v>89</v>
      </c>
      <c r="K57" s="14" t="s">
        <v>20</v>
      </c>
      <c r="L57" s="14" t="s">
        <v>92</v>
      </c>
      <c r="M57" s="10"/>
      <c r="N57" s="8" t="s">
        <v>21</v>
      </c>
      <c r="O57" s="8" t="str">
        <f>_xlfn.XLOOKUP(Table1[[#This Row],[Serial Number]],[1]Apr!$O:$O,[1]Apr!$F:$F)</f>
        <v>Anantara Siam Bangkok Hotel</v>
      </c>
      <c r="P57" s="8" t="s">
        <v>375</v>
      </c>
      <c r="Q57" s="8"/>
      <c r="R57" s="8"/>
      <c r="S57" s="8"/>
      <c r="T57" s="8"/>
      <c r="U57" s="8"/>
      <c r="V57" s="16"/>
    </row>
    <row r="58" spans="1:22" ht="12" hidden="1" x14ac:dyDescent="0.15">
      <c r="A58" s="6" t="s">
        <v>16</v>
      </c>
      <c r="B58" s="7" t="s">
        <v>17</v>
      </c>
      <c r="C58" s="7" t="s">
        <v>18</v>
      </c>
      <c r="D58" s="7">
        <v>36</v>
      </c>
      <c r="E58" s="8" t="s">
        <v>228</v>
      </c>
      <c r="F58" s="9">
        <v>45047</v>
      </c>
      <c r="G58" s="9">
        <v>46142</v>
      </c>
      <c r="H58" s="8">
        <v>1</v>
      </c>
      <c r="I58" s="8"/>
      <c r="J58" s="14" t="s">
        <v>89</v>
      </c>
      <c r="K58" s="14" t="s">
        <v>20</v>
      </c>
      <c r="L58" s="14" t="s">
        <v>93</v>
      </c>
      <c r="M58" s="10"/>
      <c r="N58" s="8" t="s">
        <v>21</v>
      </c>
      <c r="O58" s="8" t="str">
        <f>_xlfn.XLOOKUP(Table1[[#This Row],[Serial Number]],[1]Apr!$O:$O,[1]Apr!$F:$F)</f>
        <v>Anantara Siam Bangkok Hotel</v>
      </c>
      <c r="P58" s="8" t="s">
        <v>375</v>
      </c>
      <c r="Q58" s="8"/>
      <c r="R58" s="8"/>
      <c r="S58" s="8"/>
      <c r="T58" s="8"/>
      <c r="U58" s="8"/>
      <c r="V58" s="16"/>
    </row>
    <row r="59" spans="1:22" ht="12" hidden="1" x14ac:dyDescent="0.15">
      <c r="A59" s="6" t="s">
        <v>16</v>
      </c>
      <c r="B59" s="7" t="s">
        <v>17</v>
      </c>
      <c r="C59" s="7" t="s">
        <v>18</v>
      </c>
      <c r="D59" s="7">
        <v>36</v>
      </c>
      <c r="E59" s="8" t="s">
        <v>228</v>
      </c>
      <c r="F59" s="9">
        <v>45047</v>
      </c>
      <c r="G59" s="9">
        <v>46142</v>
      </c>
      <c r="H59" s="8">
        <v>1</v>
      </c>
      <c r="I59" s="8"/>
      <c r="J59" s="14" t="s">
        <v>89</v>
      </c>
      <c r="K59" s="14" t="s">
        <v>20</v>
      </c>
      <c r="L59" s="14" t="s">
        <v>94</v>
      </c>
      <c r="M59" s="10"/>
      <c r="N59" s="8" t="s">
        <v>21</v>
      </c>
      <c r="O59" s="8" t="str">
        <f>_xlfn.XLOOKUP(Table1[[#This Row],[Serial Number]],[1]Apr!$O:$O,[1]Apr!$F:$F)</f>
        <v>Anantara Siam Bangkok Hotel</v>
      </c>
      <c r="P59" s="8" t="s">
        <v>375</v>
      </c>
      <c r="Q59" s="8"/>
      <c r="R59" s="8"/>
      <c r="S59" s="8"/>
      <c r="T59" s="8"/>
      <c r="U59" s="8"/>
      <c r="V59" s="16"/>
    </row>
    <row r="60" spans="1:22" ht="12" hidden="1" x14ac:dyDescent="0.15">
      <c r="A60" s="6" t="s">
        <v>16</v>
      </c>
      <c r="B60" s="7" t="s">
        <v>17</v>
      </c>
      <c r="C60" s="7" t="s">
        <v>18</v>
      </c>
      <c r="D60" s="7">
        <v>36</v>
      </c>
      <c r="E60" s="8" t="s">
        <v>228</v>
      </c>
      <c r="F60" s="9">
        <v>45047</v>
      </c>
      <c r="G60" s="9">
        <v>46142</v>
      </c>
      <c r="H60" s="8">
        <v>1</v>
      </c>
      <c r="I60" s="8"/>
      <c r="J60" s="14" t="s">
        <v>89</v>
      </c>
      <c r="K60" s="14" t="s">
        <v>20</v>
      </c>
      <c r="L60" s="14" t="s">
        <v>95</v>
      </c>
      <c r="M60" s="10"/>
      <c r="N60" s="8" t="s">
        <v>21</v>
      </c>
      <c r="O60" s="8" t="str">
        <f>_xlfn.XLOOKUP(Table1[[#This Row],[Serial Number]],[1]Apr!$O:$O,[1]Apr!$F:$F)</f>
        <v>Anantara Siam Bangkok Hotel</v>
      </c>
      <c r="P60" s="8" t="s">
        <v>375</v>
      </c>
      <c r="Q60" s="8"/>
      <c r="R60" s="8"/>
      <c r="S60" s="8"/>
      <c r="T60" s="8"/>
      <c r="U60" s="8"/>
      <c r="V60" s="16"/>
    </row>
    <row r="61" spans="1:22" ht="12" hidden="1" x14ac:dyDescent="0.15">
      <c r="A61" s="6" t="s">
        <v>16</v>
      </c>
      <c r="B61" s="7" t="s">
        <v>17</v>
      </c>
      <c r="C61" s="7" t="s">
        <v>18</v>
      </c>
      <c r="D61" s="7">
        <v>36</v>
      </c>
      <c r="E61" s="8" t="s">
        <v>228</v>
      </c>
      <c r="F61" s="9">
        <v>45047</v>
      </c>
      <c r="G61" s="9">
        <v>46142</v>
      </c>
      <c r="H61" s="8">
        <v>1</v>
      </c>
      <c r="I61" s="8"/>
      <c r="J61" s="14" t="s">
        <v>89</v>
      </c>
      <c r="K61" s="14" t="s">
        <v>20</v>
      </c>
      <c r="L61" s="14" t="s">
        <v>96</v>
      </c>
      <c r="M61" s="10"/>
      <c r="N61" s="8" t="s">
        <v>21</v>
      </c>
      <c r="O61" s="8" t="str">
        <f>_xlfn.XLOOKUP(Table1[[#This Row],[Serial Number]],[1]Apr!$O:$O,[1]Apr!$F:$F)</f>
        <v>Anantara Siam Bangkok Hotel</v>
      </c>
      <c r="P61" s="8" t="s">
        <v>375</v>
      </c>
      <c r="Q61" s="8"/>
      <c r="R61" s="8"/>
      <c r="S61" s="8"/>
      <c r="T61" s="8"/>
      <c r="U61" s="8"/>
      <c r="V61" s="16"/>
    </row>
    <row r="62" spans="1:22" ht="12" hidden="1" x14ac:dyDescent="0.15">
      <c r="A62" s="6" t="s">
        <v>16</v>
      </c>
      <c r="B62" s="7" t="s">
        <v>17</v>
      </c>
      <c r="C62" s="7" t="s">
        <v>18</v>
      </c>
      <c r="D62" s="7">
        <v>36</v>
      </c>
      <c r="E62" s="8" t="s">
        <v>228</v>
      </c>
      <c r="F62" s="9">
        <v>45047</v>
      </c>
      <c r="G62" s="9">
        <v>46142</v>
      </c>
      <c r="H62" s="8">
        <v>1</v>
      </c>
      <c r="I62" s="8"/>
      <c r="J62" s="14" t="s">
        <v>35</v>
      </c>
      <c r="K62" s="14" t="s">
        <v>20</v>
      </c>
      <c r="L62" s="14" t="s">
        <v>97</v>
      </c>
      <c r="M62" s="10"/>
      <c r="N62" s="8" t="s">
        <v>21</v>
      </c>
      <c r="O62" s="8" t="str">
        <f>_xlfn.XLOOKUP(Table1[[#This Row],[Serial Number]],[1]Apr!$O:$O,[1]Apr!$F:$F)</f>
        <v>Anantara Siam Bangkok Hotel</v>
      </c>
      <c r="P62" s="8" t="s">
        <v>375</v>
      </c>
      <c r="Q62" s="8"/>
      <c r="R62" s="8"/>
      <c r="S62" s="8"/>
      <c r="T62" s="8"/>
      <c r="U62" s="8"/>
      <c r="V62" s="16"/>
    </row>
    <row r="63" spans="1:22" ht="12" hidden="1" x14ac:dyDescent="0.15">
      <c r="A63" s="6" t="s">
        <v>16</v>
      </c>
      <c r="B63" s="7" t="s">
        <v>17</v>
      </c>
      <c r="C63" s="7" t="s">
        <v>18</v>
      </c>
      <c r="D63" s="7">
        <v>36</v>
      </c>
      <c r="E63" s="8" t="s">
        <v>228</v>
      </c>
      <c r="F63" s="9">
        <v>45047</v>
      </c>
      <c r="G63" s="9">
        <v>46142</v>
      </c>
      <c r="H63" s="8">
        <v>1</v>
      </c>
      <c r="I63" s="8"/>
      <c r="J63" s="14" t="s">
        <v>35</v>
      </c>
      <c r="K63" s="14" t="s">
        <v>20</v>
      </c>
      <c r="L63" s="14" t="s">
        <v>98</v>
      </c>
      <c r="M63" s="10"/>
      <c r="N63" s="8" t="s">
        <v>21</v>
      </c>
      <c r="O63" s="8" t="str">
        <f>_xlfn.XLOOKUP(Table1[[#This Row],[Serial Number]],[1]Apr!$O:$O,[1]Apr!$F:$F)</f>
        <v>Anantara Siam Bangkok Hotel</v>
      </c>
      <c r="P63" s="8" t="s">
        <v>375</v>
      </c>
      <c r="Q63" s="8"/>
      <c r="R63" s="8"/>
      <c r="S63" s="8"/>
      <c r="T63" s="8"/>
      <c r="U63" s="8"/>
      <c r="V63" s="16"/>
    </row>
    <row r="64" spans="1:22" ht="12" hidden="1" x14ac:dyDescent="0.15">
      <c r="A64" s="6" t="s">
        <v>16</v>
      </c>
      <c r="B64" s="7" t="s">
        <v>17</v>
      </c>
      <c r="C64" s="7" t="s">
        <v>18</v>
      </c>
      <c r="D64" s="7">
        <v>36</v>
      </c>
      <c r="E64" s="8" t="s">
        <v>228</v>
      </c>
      <c r="F64" s="9">
        <v>45047</v>
      </c>
      <c r="G64" s="9">
        <v>46142</v>
      </c>
      <c r="H64" s="8">
        <v>1</v>
      </c>
      <c r="I64" s="8"/>
      <c r="J64" s="14" t="s">
        <v>35</v>
      </c>
      <c r="K64" s="14" t="s">
        <v>20</v>
      </c>
      <c r="L64" s="14" t="s">
        <v>99</v>
      </c>
      <c r="M64" s="10"/>
      <c r="N64" s="8" t="s">
        <v>21</v>
      </c>
      <c r="O64" s="8" t="str">
        <f>_xlfn.XLOOKUP(Table1[[#This Row],[Serial Number]],[1]Apr!$O:$O,[1]Apr!$F:$F)</f>
        <v>Anantara Siam Bangkok Hotel</v>
      </c>
      <c r="P64" s="8" t="s">
        <v>375</v>
      </c>
      <c r="Q64" s="8"/>
      <c r="R64" s="8"/>
      <c r="S64" s="8"/>
      <c r="T64" s="8"/>
      <c r="U64" s="8"/>
      <c r="V64" s="16"/>
    </row>
    <row r="65" spans="1:22" ht="12" hidden="1" x14ac:dyDescent="0.15">
      <c r="A65" s="6" t="s">
        <v>16</v>
      </c>
      <c r="B65" s="7" t="s">
        <v>17</v>
      </c>
      <c r="C65" s="7" t="s">
        <v>18</v>
      </c>
      <c r="D65" s="7">
        <v>36</v>
      </c>
      <c r="E65" s="8" t="s">
        <v>228</v>
      </c>
      <c r="F65" s="9">
        <v>45047</v>
      </c>
      <c r="G65" s="9">
        <v>46142</v>
      </c>
      <c r="H65" s="8">
        <v>1</v>
      </c>
      <c r="I65" s="8"/>
      <c r="J65" s="14" t="s">
        <v>35</v>
      </c>
      <c r="K65" s="14" t="s">
        <v>20</v>
      </c>
      <c r="L65" s="14" t="s">
        <v>100</v>
      </c>
      <c r="M65" s="10"/>
      <c r="N65" s="8" t="s">
        <v>21</v>
      </c>
      <c r="O65" s="8" t="str">
        <f>_xlfn.XLOOKUP(Table1[[#This Row],[Serial Number]],[1]Apr!$O:$O,[1]Apr!$F:$F)</f>
        <v>Anantara Siam Bangkok Hotel</v>
      </c>
      <c r="P65" s="8" t="s">
        <v>375</v>
      </c>
      <c r="Q65" s="8"/>
      <c r="R65" s="8"/>
      <c r="S65" s="8"/>
      <c r="T65" s="8"/>
      <c r="U65" s="8"/>
      <c r="V65" s="16"/>
    </row>
    <row r="66" spans="1:22" ht="12" hidden="1" x14ac:dyDescent="0.15">
      <c r="A66" s="6" t="s">
        <v>16</v>
      </c>
      <c r="B66" s="7" t="s">
        <v>17</v>
      </c>
      <c r="C66" s="7" t="s">
        <v>18</v>
      </c>
      <c r="D66" s="7">
        <v>36</v>
      </c>
      <c r="E66" s="8" t="s">
        <v>228</v>
      </c>
      <c r="F66" s="9">
        <v>45047</v>
      </c>
      <c r="G66" s="9">
        <v>46142</v>
      </c>
      <c r="H66" s="8">
        <v>1</v>
      </c>
      <c r="I66" s="8"/>
      <c r="J66" s="14" t="s">
        <v>35</v>
      </c>
      <c r="K66" s="14" t="s">
        <v>20</v>
      </c>
      <c r="L66" s="14" t="s">
        <v>101</v>
      </c>
      <c r="M66" s="10"/>
      <c r="N66" s="8" t="s">
        <v>21</v>
      </c>
      <c r="O66" s="8" t="str">
        <f>_xlfn.XLOOKUP(Table1[[#This Row],[Serial Number]],[1]Apr!$O:$O,[1]Apr!$F:$F)</f>
        <v>The ParQ</v>
      </c>
      <c r="P66" s="8" t="s">
        <v>375</v>
      </c>
      <c r="Q66" s="8"/>
      <c r="R66" s="8"/>
      <c r="S66" s="8"/>
      <c r="T66" s="8"/>
      <c r="U66" s="8"/>
      <c r="V66" s="16"/>
    </row>
    <row r="67" spans="1:22" ht="12" hidden="1" x14ac:dyDescent="0.15">
      <c r="A67" s="6" t="s">
        <v>16</v>
      </c>
      <c r="B67" s="7" t="s">
        <v>17</v>
      </c>
      <c r="C67" s="7" t="s">
        <v>18</v>
      </c>
      <c r="D67" s="7">
        <v>36</v>
      </c>
      <c r="E67" s="8" t="s">
        <v>228</v>
      </c>
      <c r="F67" s="9">
        <v>45047</v>
      </c>
      <c r="G67" s="9">
        <v>46142</v>
      </c>
      <c r="H67" s="8">
        <v>1</v>
      </c>
      <c r="I67" s="8"/>
      <c r="J67" s="14" t="s">
        <v>35</v>
      </c>
      <c r="K67" s="14" t="s">
        <v>20</v>
      </c>
      <c r="L67" s="14" t="s">
        <v>102</v>
      </c>
      <c r="M67" s="10"/>
      <c r="N67" s="8" t="s">
        <v>21</v>
      </c>
      <c r="O67" s="8" t="str">
        <f>_xlfn.XLOOKUP(Table1[[#This Row],[Serial Number]],[1]Apr!$O:$O,[1]Apr!$F:$F)</f>
        <v>The ParQ</v>
      </c>
      <c r="P67" s="8" t="s">
        <v>375</v>
      </c>
      <c r="Q67" s="8"/>
      <c r="R67" s="8"/>
      <c r="S67" s="8"/>
      <c r="T67" s="8"/>
      <c r="U67" s="8"/>
      <c r="V67" s="16"/>
    </row>
    <row r="68" spans="1:22" ht="12" hidden="1" x14ac:dyDescent="0.15">
      <c r="A68" s="6" t="s">
        <v>16</v>
      </c>
      <c r="B68" s="7" t="s">
        <v>17</v>
      </c>
      <c r="C68" s="7" t="s">
        <v>18</v>
      </c>
      <c r="D68" s="7">
        <v>36</v>
      </c>
      <c r="E68" s="8" t="s">
        <v>228</v>
      </c>
      <c r="F68" s="9">
        <v>45047</v>
      </c>
      <c r="G68" s="9">
        <v>46142</v>
      </c>
      <c r="H68" s="8">
        <v>1</v>
      </c>
      <c r="I68" s="8"/>
      <c r="J68" s="14" t="s">
        <v>35</v>
      </c>
      <c r="K68" s="14" t="s">
        <v>20</v>
      </c>
      <c r="L68" s="14" t="s">
        <v>103</v>
      </c>
      <c r="M68" s="10"/>
      <c r="N68" s="8" t="s">
        <v>21</v>
      </c>
      <c r="O68" s="8" t="str">
        <f>_xlfn.XLOOKUP(Table1[[#This Row],[Serial Number]],[1]Apr!$O:$O,[1]Apr!$F:$F)</f>
        <v>The ParQ</v>
      </c>
      <c r="P68" s="8" t="s">
        <v>375</v>
      </c>
      <c r="Q68" s="8"/>
      <c r="R68" s="8"/>
      <c r="S68" s="8"/>
      <c r="T68" s="8"/>
      <c r="U68" s="8"/>
      <c r="V68" s="16"/>
    </row>
    <row r="69" spans="1:22" ht="12" hidden="1" x14ac:dyDescent="0.15">
      <c r="A69" s="6" t="s">
        <v>16</v>
      </c>
      <c r="B69" s="7" t="s">
        <v>17</v>
      </c>
      <c r="C69" s="7" t="s">
        <v>18</v>
      </c>
      <c r="D69" s="7">
        <v>36</v>
      </c>
      <c r="E69" s="8" t="s">
        <v>228</v>
      </c>
      <c r="F69" s="9">
        <v>45047</v>
      </c>
      <c r="G69" s="9">
        <v>46142</v>
      </c>
      <c r="H69" s="8">
        <v>1</v>
      </c>
      <c r="I69" s="8"/>
      <c r="J69" s="14" t="s">
        <v>35</v>
      </c>
      <c r="K69" s="14" t="s">
        <v>20</v>
      </c>
      <c r="L69" s="14" t="s">
        <v>104</v>
      </c>
      <c r="M69" s="10"/>
      <c r="N69" s="8" t="s">
        <v>21</v>
      </c>
      <c r="O69" s="8" t="str">
        <f>_xlfn.XLOOKUP(Table1[[#This Row],[Serial Number]],[1]Apr!$O:$O,[1]Apr!$F:$F)</f>
        <v>The ParQ</v>
      </c>
      <c r="P69" s="8" t="s">
        <v>375</v>
      </c>
      <c r="Q69" s="8"/>
      <c r="R69" s="8"/>
      <c r="S69" s="8"/>
      <c r="T69" s="8"/>
      <c r="U69" s="8"/>
      <c r="V69" s="16"/>
    </row>
    <row r="70" spans="1:22" ht="12" hidden="1" x14ac:dyDescent="0.15">
      <c r="A70" s="6" t="s">
        <v>16</v>
      </c>
      <c r="B70" s="7" t="s">
        <v>17</v>
      </c>
      <c r="C70" s="7" t="s">
        <v>18</v>
      </c>
      <c r="D70" s="7">
        <v>36</v>
      </c>
      <c r="E70" s="8" t="s">
        <v>228</v>
      </c>
      <c r="F70" s="9">
        <v>45047</v>
      </c>
      <c r="G70" s="9">
        <v>46142</v>
      </c>
      <c r="H70" s="8">
        <v>1</v>
      </c>
      <c r="I70" s="8"/>
      <c r="J70" s="14" t="s">
        <v>32</v>
      </c>
      <c r="K70" s="14" t="s">
        <v>20</v>
      </c>
      <c r="L70" s="14" t="s">
        <v>105</v>
      </c>
      <c r="M70" s="10"/>
      <c r="N70" s="8" t="s">
        <v>21</v>
      </c>
      <c r="O70" s="8" t="str">
        <f>_xlfn.XLOOKUP(Table1[[#This Row],[Serial Number]],[1]Apr!$O:$O,[1]Apr!$F:$F)</f>
        <v>The ParQ</v>
      </c>
      <c r="P70" s="8" t="s">
        <v>375</v>
      </c>
      <c r="Q70" s="8"/>
      <c r="R70" s="8"/>
      <c r="S70" s="8"/>
      <c r="T70" s="8"/>
      <c r="U70" s="8"/>
      <c r="V70" s="16"/>
    </row>
    <row r="71" spans="1:22" ht="12" x14ac:dyDescent="0.15">
      <c r="A71" s="6" t="s">
        <v>16</v>
      </c>
      <c r="B71" s="7" t="s">
        <v>17</v>
      </c>
      <c r="C71" s="7" t="s">
        <v>18</v>
      </c>
      <c r="D71" s="7">
        <v>36</v>
      </c>
      <c r="E71" s="8" t="s">
        <v>228</v>
      </c>
      <c r="F71" s="9">
        <v>45047</v>
      </c>
      <c r="G71" s="9">
        <v>46142</v>
      </c>
      <c r="H71" s="8">
        <v>1</v>
      </c>
      <c r="I71" s="8"/>
      <c r="J71" s="14" t="s">
        <v>67</v>
      </c>
      <c r="K71" s="14" t="s">
        <v>20</v>
      </c>
      <c r="L71" s="14" t="s">
        <v>106</v>
      </c>
      <c r="M71" s="10"/>
      <c r="N71" s="8" t="s">
        <v>21</v>
      </c>
      <c r="O71" s="8" t="str">
        <f>_xlfn.XLOOKUP(Table1[[#This Row],[Serial Number]],[1]Apr!$O:$O,[1]Apr!$F:$F)</f>
        <v xml:space="preserve">NMT LIMITED </v>
      </c>
      <c r="P71" s="8" t="s">
        <v>377</v>
      </c>
      <c r="Q71" s="46" t="s">
        <v>384</v>
      </c>
      <c r="R71" s="8"/>
      <c r="S71" s="8"/>
      <c r="T71" s="48"/>
      <c r="U71" s="8"/>
      <c r="V71" s="16"/>
    </row>
    <row r="72" spans="1:22" ht="12" hidden="1" x14ac:dyDescent="0.15">
      <c r="A72" s="6" t="s">
        <v>16</v>
      </c>
      <c r="B72" s="7" t="s">
        <v>17</v>
      </c>
      <c r="C72" s="7" t="s">
        <v>18</v>
      </c>
      <c r="D72" s="7">
        <v>36</v>
      </c>
      <c r="E72" s="8" t="s">
        <v>228</v>
      </c>
      <c r="F72" s="9">
        <v>45047</v>
      </c>
      <c r="G72" s="9">
        <v>46142</v>
      </c>
      <c r="H72" s="8">
        <v>1</v>
      </c>
      <c r="I72" s="8"/>
      <c r="J72" s="14" t="s">
        <v>35</v>
      </c>
      <c r="K72" s="14" t="s">
        <v>20</v>
      </c>
      <c r="L72" s="14" t="s">
        <v>107</v>
      </c>
      <c r="M72" s="10"/>
      <c r="N72" s="8" t="s">
        <v>21</v>
      </c>
      <c r="O72" s="8" t="str">
        <f>_xlfn.XLOOKUP(Table1[[#This Row],[Serial Number]],[1]Apr!$O:$O,[1]Apr!$F:$F)</f>
        <v>The ParQ</v>
      </c>
      <c r="P72" s="8" t="s">
        <v>375</v>
      </c>
      <c r="Q72" s="8"/>
      <c r="R72" s="8"/>
      <c r="S72" s="8"/>
      <c r="T72" s="8"/>
      <c r="U72" s="8"/>
      <c r="V72" s="16"/>
    </row>
    <row r="73" spans="1:22" ht="12" hidden="1" x14ac:dyDescent="0.15">
      <c r="A73" s="6" t="s">
        <v>16</v>
      </c>
      <c r="B73" s="7" t="s">
        <v>17</v>
      </c>
      <c r="C73" s="7" t="s">
        <v>18</v>
      </c>
      <c r="D73" s="7">
        <v>36</v>
      </c>
      <c r="E73" s="8" t="s">
        <v>228</v>
      </c>
      <c r="F73" s="9">
        <v>45047</v>
      </c>
      <c r="G73" s="9">
        <v>46142</v>
      </c>
      <c r="H73" s="8">
        <v>1</v>
      </c>
      <c r="I73" s="8"/>
      <c r="J73" s="14" t="s">
        <v>35</v>
      </c>
      <c r="K73" s="14" t="s">
        <v>20</v>
      </c>
      <c r="L73" s="14" t="s">
        <v>108</v>
      </c>
      <c r="M73" s="10"/>
      <c r="N73" s="8" t="s">
        <v>21</v>
      </c>
      <c r="O73" s="8" t="str">
        <f>_xlfn.XLOOKUP(Table1[[#This Row],[Serial Number]],[1]Apr!$O:$O,[1]Apr!$F:$F)</f>
        <v>The ParQ</v>
      </c>
      <c r="P73" s="8" t="s">
        <v>375</v>
      </c>
      <c r="Q73" s="8"/>
      <c r="R73" s="8"/>
      <c r="S73" s="8"/>
      <c r="T73" s="8"/>
      <c r="U73" s="8"/>
      <c r="V73" s="16"/>
    </row>
    <row r="74" spans="1:22" ht="12" hidden="1" x14ac:dyDescent="0.15">
      <c r="A74" s="6" t="s">
        <v>16</v>
      </c>
      <c r="B74" s="7" t="s">
        <v>17</v>
      </c>
      <c r="C74" s="7" t="s">
        <v>18</v>
      </c>
      <c r="D74" s="7">
        <v>36</v>
      </c>
      <c r="E74" s="8" t="s">
        <v>228</v>
      </c>
      <c r="F74" s="9">
        <v>45047</v>
      </c>
      <c r="G74" s="9">
        <v>46142</v>
      </c>
      <c r="H74" s="8">
        <v>1</v>
      </c>
      <c r="I74" s="8"/>
      <c r="J74" s="14" t="s">
        <v>32</v>
      </c>
      <c r="K74" s="14" t="s">
        <v>20</v>
      </c>
      <c r="L74" s="14" t="s">
        <v>109</v>
      </c>
      <c r="M74" s="10"/>
      <c r="N74" s="8" t="s">
        <v>21</v>
      </c>
      <c r="O74" s="8" t="str">
        <f>_xlfn.XLOOKUP(Table1[[#This Row],[Serial Number]],[1]Apr!$O:$O,[1]Apr!$F:$F)</f>
        <v>The ParQ</v>
      </c>
      <c r="P74" s="8" t="s">
        <v>375</v>
      </c>
      <c r="Q74" s="8"/>
      <c r="R74" s="8"/>
      <c r="S74" s="8"/>
      <c r="T74" s="8"/>
      <c r="U74" s="8"/>
      <c r="V74" s="16"/>
    </row>
    <row r="75" spans="1:22" ht="12" hidden="1" x14ac:dyDescent="0.15">
      <c r="A75" s="6" t="s">
        <v>16</v>
      </c>
      <c r="B75" s="7" t="s">
        <v>17</v>
      </c>
      <c r="C75" s="7" t="s">
        <v>18</v>
      </c>
      <c r="D75" s="7">
        <v>36</v>
      </c>
      <c r="E75" s="8" t="s">
        <v>228</v>
      </c>
      <c r="F75" s="9">
        <v>45047</v>
      </c>
      <c r="G75" s="9">
        <v>46142</v>
      </c>
      <c r="H75" s="8">
        <v>1</v>
      </c>
      <c r="I75" s="8"/>
      <c r="J75" s="14" t="s">
        <v>35</v>
      </c>
      <c r="K75" s="14" t="s">
        <v>20</v>
      </c>
      <c r="L75" s="14" t="s">
        <v>110</v>
      </c>
      <c r="M75" s="10"/>
      <c r="N75" s="8" t="s">
        <v>21</v>
      </c>
      <c r="O75" s="8" t="str">
        <f>_xlfn.XLOOKUP(Table1[[#This Row],[Serial Number]],[1]Apr!$O:$O,[1]Apr!$F:$F)</f>
        <v>The ParQ</v>
      </c>
      <c r="P75" s="8" t="s">
        <v>375</v>
      </c>
      <c r="Q75" s="8"/>
      <c r="R75" s="8"/>
      <c r="S75" s="8"/>
      <c r="T75" s="8"/>
      <c r="U75" s="8"/>
      <c r="V75" s="16"/>
    </row>
    <row r="76" spans="1:22" ht="12" hidden="1" x14ac:dyDescent="0.15">
      <c r="A76" s="6" t="s">
        <v>16</v>
      </c>
      <c r="B76" s="7" t="s">
        <v>17</v>
      </c>
      <c r="C76" s="7" t="s">
        <v>18</v>
      </c>
      <c r="D76" s="7">
        <v>36</v>
      </c>
      <c r="E76" s="8" t="s">
        <v>228</v>
      </c>
      <c r="F76" s="9">
        <v>45047</v>
      </c>
      <c r="G76" s="9">
        <v>46142</v>
      </c>
      <c r="H76" s="8">
        <v>1</v>
      </c>
      <c r="I76" s="8"/>
      <c r="J76" s="14" t="s">
        <v>39</v>
      </c>
      <c r="K76" s="14" t="s">
        <v>20</v>
      </c>
      <c r="L76" s="14" t="s">
        <v>111</v>
      </c>
      <c r="M76" s="10"/>
      <c r="N76" s="8" t="s">
        <v>21</v>
      </c>
      <c r="O76" s="8" t="str">
        <f>_xlfn.XLOOKUP(Table1[[#This Row],[Serial Number]],[1]Apr!$O:$O,[1]Apr!$F:$F)</f>
        <v>The ParQ</v>
      </c>
      <c r="P76" s="8" t="s">
        <v>375</v>
      </c>
      <c r="Q76" s="8"/>
      <c r="R76" s="8"/>
      <c r="S76" s="8"/>
      <c r="T76" s="8"/>
      <c r="U76" s="8"/>
      <c r="V76" s="16"/>
    </row>
    <row r="77" spans="1:22" ht="12" x14ac:dyDescent="0.15">
      <c r="A77" s="6" t="s">
        <v>16</v>
      </c>
      <c r="B77" s="7" t="s">
        <v>17</v>
      </c>
      <c r="C77" s="7" t="s">
        <v>18</v>
      </c>
      <c r="D77" s="7">
        <v>36</v>
      </c>
      <c r="E77" s="8" t="s">
        <v>228</v>
      </c>
      <c r="F77" s="9">
        <v>45047</v>
      </c>
      <c r="G77" s="9">
        <v>46142</v>
      </c>
      <c r="H77" s="8">
        <v>1</v>
      </c>
      <c r="I77" s="8"/>
      <c r="J77" s="14" t="s">
        <v>35</v>
      </c>
      <c r="K77" s="14" t="s">
        <v>20</v>
      </c>
      <c r="L77" s="14" t="s">
        <v>112</v>
      </c>
      <c r="M77" s="10"/>
      <c r="N77" s="8" t="s">
        <v>21</v>
      </c>
      <c r="O77" s="8" t="str">
        <f>_xlfn.XLOOKUP(Table1[[#This Row],[Serial Number]],[1]Apr!$O:$O,[1]Apr!$F:$F)</f>
        <v>Anantara Layan Phuket Resort</v>
      </c>
      <c r="P77" s="8" t="s">
        <v>377</v>
      </c>
      <c r="Q77" s="46" t="s">
        <v>387</v>
      </c>
      <c r="R77" s="8" t="str">
        <f>_xlfn.XLOOKUP(Table1[[#This Row],[Serial Number]],[1]Apr!$O:$O,[1]Apr!$F:$F)</f>
        <v>Anantara Layan Phuket Resort</v>
      </c>
      <c r="S77" s="8"/>
      <c r="T77" s="48">
        <v>46140</v>
      </c>
      <c r="U77" s="8"/>
      <c r="V77" s="16"/>
    </row>
    <row r="78" spans="1:22" ht="12" hidden="1" x14ac:dyDescent="0.15">
      <c r="A78" s="6" t="s">
        <v>16</v>
      </c>
      <c r="B78" s="7" t="s">
        <v>17</v>
      </c>
      <c r="C78" s="7" t="s">
        <v>18</v>
      </c>
      <c r="D78" s="7">
        <v>36</v>
      </c>
      <c r="E78" s="8" t="s">
        <v>228</v>
      </c>
      <c r="F78" s="9">
        <v>45047</v>
      </c>
      <c r="G78" s="9">
        <v>46142</v>
      </c>
      <c r="H78" s="8">
        <v>1</v>
      </c>
      <c r="I78" s="8"/>
      <c r="J78" s="14" t="s">
        <v>67</v>
      </c>
      <c r="K78" s="14" t="s">
        <v>20</v>
      </c>
      <c r="L78" s="14" t="s">
        <v>113</v>
      </c>
      <c r="M78" s="10"/>
      <c r="N78" s="8" t="s">
        <v>21</v>
      </c>
      <c r="O78" s="8" t="str">
        <f>_xlfn.XLOOKUP(Table1[[#This Row],[Serial Number]],[1]Apr!$O:$O,[1]Apr!$F:$F)</f>
        <v>Anantara Riverside Bangkok Resort</v>
      </c>
      <c r="P78" s="8" t="s">
        <v>375</v>
      </c>
      <c r="Q78" s="8"/>
      <c r="R78" s="8"/>
      <c r="S78" s="8"/>
      <c r="T78" s="8"/>
      <c r="U78" s="8"/>
      <c r="V78" s="16"/>
    </row>
    <row r="79" spans="1:22" ht="12" x14ac:dyDescent="0.15">
      <c r="A79" s="6" t="s">
        <v>16</v>
      </c>
      <c r="B79" s="7" t="s">
        <v>17</v>
      </c>
      <c r="C79" s="7" t="s">
        <v>18</v>
      </c>
      <c r="D79" s="7">
        <v>36</v>
      </c>
      <c r="E79" s="8" t="s">
        <v>228</v>
      </c>
      <c r="F79" s="9">
        <v>45047</v>
      </c>
      <c r="G79" s="9">
        <v>46142</v>
      </c>
      <c r="H79" s="8">
        <v>1</v>
      </c>
      <c r="I79" s="8"/>
      <c r="J79" s="14" t="s">
        <v>35</v>
      </c>
      <c r="K79" s="14" t="s">
        <v>20</v>
      </c>
      <c r="L79" s="14" t="s">
        <v>114</v>
      </c>
      <c r="M79" s="10"/>
      <c r="N79" s="8" t="s">
        <v>21</v>
      </c>
      <c r="O79" s="8" t="str">
        <f>_xlfn.XLOOKUP(Table1[[#This Row],[Serial Number]],[1]Apr!$O:$O,[1]Apr!$F:$F)</f>
        <v>Avani Pattaya Resort&amp;Spa(Machine for Royal Garden )</v>
      </c>
      <c r="P79" s="8" t="s">
        <v>377</v>
      </c>
      <c r="Q79" s="46" t="s">
        <v>384</v>
      </c>
      <c r="R79" s="8"/>
      <c r="S79" s="8"/>
      <c r="T79" s="48"/>
      <c r="U79" s="8"/>
      <c r="V79" s="16"/>
    </row>
    <row r="80" spans="1:22" ht="12" hidden="1" x14ac:dyDescent="0.15">
      <c r="A80" s="6" t="s">
        <v>16</v>
      </c>
      <c r="B80" s="7" t="s">
        <v>17</v>
      </c>
      <c r="C80" s="7" t="s">
        <v>18</v>
      </c>
      <c r="D80" s="7">
        <v>36</v>
      </c>
      <c r="E80" s="8" t="s">
        <v>228</v>
      </c>
      <c r="F80" s="9">
        <v>45047</v>
      </c>
      <c r="G80" s="9">
        <v>46142</v>
      </c>
      <c r="H80" s="8">
        <v>1</v>
      </c>
      <c r="I80" s="8"/>
      <c r="J80" s="14" t="s">
        <v>35</v>
      </c>
      <c r="K80" s="14" t="s">
        <v>20</v>
      </c>
      <c r="L80" s="14" t="s">
        <v>115</v>
      </c>
      <c r="M80" s="10"/>
      <c r="N80" s="8" t="s">
        <v>21</v>
      </c>
      <c r="O80" s="8" t="str">
        <f>_xlfn.XLOOKUP(Table1[[#This Row],[Serial Number]],[1]Apr!$O:$O,[1]Apr!$F:$F)</f>
        <v>The ParQ</v>
      </c>
      <c r="P80" s="8" t="s">
        <v>375</v>
      </c>
      <c r="Q80" s="8"/>
      <c r="R80" s="8"/>
      <c r="S80" s="8"/>
      <c r="T80" s="8"/>
      <c r="U80" s="8"/>
      <c r="V80" s="16"/>
    </row>
    <row r="81" spans="1:22" ht="12" hidden="1" x14ac:dyDescent="0.15">
      <c r="A81" s="6" t="s">
        <v>16</v>
      </c>
      <c r="B81" s="7" t="s">
        <v>17</v>
      </c>
      <c r="C81" s="7" t="s">
        <v>18</v>
      </c>
      <c r="D81" s="7">
        <v>36</v>
      </c>
      <c r="E81" s="8" t="s">
        <v>228</v>
      </c>
      <c r="F81" s="9">
        <v>45047</v>
      </c>
      <c r="G81" s="9">
        <v>46142</v>
      </c>
      <c r="H81" s="8">
        <v>1</v>
      </c>
      <c r="I81" s="8"/>
      <c r="J81" s="14" t="s">
        <v>35</v>
      </c>
      <c r="K81" s="14" t="s">
        <v>20</v>
      </c>
      <c r="L81" s="14" t="s">
        <v>116</v>
      </c>
      <c r="M81" s="10"/>
      <c r="N81" s="8" t="s">
        <v>21</v>
      </c>
      <c r="O81" s="8" t="str">
        <f>_xlfn.XLOOKUP(Table1[[#This Row],[Serial Number]],[1]Apr!$O:$O,[1]Apr!$F:$F)</f>
        <v>Anantara Riverside Bangkok Resort</v>
      </c>
      <c r="P81" s="8" t="s">
        <v>375</v>
      </c>
      <c r="Q81" s="8"/>
      <c r="R81" s="8"/>
      <c r="S81" s="8"/>
      <c r="T81" s="8"/>
      <c r="U81" s="8"/>
      <c r="V81" s="16"/>
    </row>
    <row r="82" spans="1:22" ht="12" x14ac:dyDescent="0.15">
      <c r="A82" s="6" t="s">
        <v>16</v>
      </c>
      <c r="B82" s="7" t="s">
        <v>17</v>
      </c>
      <c r="C82" s="7" t="s">
        <v>18</v>
      </c>
      <c r="D82" s="7">
        <v>36</v>
      </c>
      <c r="E82" s="8" t="s">
        <v>228</v>
      </c>
      <c r="F82" s="9">
        <v>45047</v>
      </c>
      <c r="G82" s="9">
        <v>46142</v>
      </c>
      <c r="H82" s="8">
        <v>1</v>
      </c>
      <c r="I82" s="8"/>
      <c r="J82" s="14" t="s">
        <v>89</v>
      </c>
      <c r="K82" s="14" t="s">
        <v>20</v>
      </c>
      <c r="L82" s="14" t="s">
        <v>117</v>
      </c>
      <c r="M82" s="10"/>
      <c r="N82" s="8" t="s">
        <v>21</v>
      </c>
      <c r="O82" s="8" t="str">
        <f>_xlfn.XLOOKUP(Table1[[#This Row],[Serial Number]],[1]Apr!$O:$O,[1]Apr!$F:$F)</f>
        <v>Avani Pattaya Resort&amp;Spa(Machine for Royal Garden )</v>
      </c>
      <c r="P82" s="8" t="s">
        <v>377</v>
      </c>
      <c r="Q82" s="46" t="s">
        <v>384</v>
      </c>
      <c r="R82" s="8"/>
      <c r="S82" s="8"/>
      <c r="T82" s="48"/>
      <c r="U82" s="8"/>
      <c r="V82" s="16"/>
    </row>
    <row r="83" spans="1:22" ht="12" x14ac:dyDescent="0.15">
      <c r="A83" s="6" t="s">
        <v>16</v>
      </c>
      <c r="B83" s="7" t="s">
        <v>17</v>
      </c>
      <c r="C83" s="7" t="s">
        <v>18</v>
      </c>
      <c r="D83" s="7">
        <v>36</v>
      </c>
      <c r="E83" s="8" t="s">
        <v>228</v>
      </c>
      <c r="F83" s="9">
        <v>45047</v>
      </c>
      <c r="G83" s="9">
        <v>46142</v>
      </c>
      <c r="H83" s="8">
        <v>1</v>
      </c>
      <c r="I83" s="8"/>
      <c r="J83" s="14" t="s">
        <v>89</v>
      </c>
      <c r="K83" s="14" t="s">
        <v>20</v>
      </c>
      <c r="L83" s="14" t="s">
        <v>118</v>
      </c>
      <c r="M83" s="10"/>
      <c r="N83" s="8" t="s">
        <v>21</v>
      </c>
      <c r="O83" s="8" t="str">
        <f>_xlfn.XLOOKUP(Table1[[#This Row],[Serial Number]],[1]Apr!$O:$O,[1]Apr!$F:$F)</f>
        <v>Avani Pattaya Resort&amp;Spa(Machine for Royal Garden )</v>
      </c>
      <c r="P83" s="8" t="s">
        <v>377</v>
      </c>
      <c r="Q83" s="46" t="s">
        <v>384</v>
      </c>
      <c r="R83" s="8"/>
      <c r="S83" s="8"/>
      <c r="T83" s="48"/>
      <c r="U83" s="8"/>
      <c r="V83" s="16"/>
    </row>
    <row r="84" spans="1:22" ht="12" x14ac:dyDescent="0.15">
      <c r="A84" s="6" t="s">
        <v>16</v>
      </c>
      <c r="B84" s="7" t="s">
        <v>17</v>
      </c>
      <c r="C84" s="7" t="s">
        <v>18</v>
      </c>
      <c r="D84" s="7">
        <v>36</v>
      </c>
      <c r="E84" s="8" t="s">
        <v>228</v>
      </c>
      <c r="F84" s="9">
        <v>45047</v>
      </c>
      <c r="G84" s="9">
        <v>46142</v>
      </c>
      <c r="H84" s="8">
        <v>1</v>
      </c>
      <c r="I84" s="8"/>
      <c r="J84" s="14" t="s">
        <v>35</v>
      </c>
      <c r="K84" s="14" t="s">
        <v>20</v>
      </c>
      <c r="L84" s="14" t="s">
        <v>119</v>
      </c>
      <c r="M84" s="10"/>
      <c r="N84" s="8" t="s">
        <v>21</v>
      </c>
      <c r="O84" s="8" t="str">
        <f>_xlfn.XLOOKUP(Table1[[#This Row],[Serial Number]],[1]Apr!$O:$O,[1]Apr!$F:$F)</f>
        <v>SCOMADI (Thailand) Co., Ltd.</v>
      </c>
      <c r="P84" s="8" t="s">
        <v>377</v>
      </c>
      <c r="Q84" s="46" t="s">
        <v>384</v>
      </c>
      <c r="R84" s="8"/>
      <c r="S84" s="8"/>
      <c r="T84" s="48"/>
      <c r="U84" s="8"/>
      <c r="V84" s="16"/>
    </row>
    <row r="85" spans="1:22" ht="12" x14ac:dyDescent="0.15">
      <c r="A85" s="6" t="s">
        <v>16</v>
      </c>
      <c r="B85" s="7" t="s">
        <v>17</v>
      </c>
      <c r="C85" s="7" t="s">
        <v>18</v>
      </c>
      <c r="D85" s="7">
        <v>36</v>
      </c>
      <c r="E85" s="8" t="s">
        <v>228</v>
      </c>
      <c r="F85" s="9">
        <v>45047</v>
      </c>
      <c r="G85" s="9">
        <v>46142</v>
      </c>
      <c r="H85" s="8">
        <v>1</v>
      </c>
      <c r="I85" s="8"/>
      <c r="J85" s="14" t="s">
        <v>35</v>
      </c>
      <c r="K85" s="14" t="s">
        <v>20</v>
      </c>
      <c r="L85" s="14" t="s">
        <v>120</v>
      </c>
      <c r="M85" s="10"/>
      <c r="N85" s="8" t="s">
        <v>21</v>
      </c>
      <c r="O85" s="8" t="str">
        <f>_xlfn.XLOOKUP(Table1[[#This Row],[Serial Number]],[1]Apr!$O:$O,[1]Apr!$F:$F)</f>
        <v>Avani Pattaya Resort&amp;Spa(Machine for Royal Garden )</v>
      </c>
      <c r="P85" s="8" t="s">
        <v>377</v>
      </c>
      <c r="Q85" s="46" t="s">
        <v>384</v>
      </c>
      <c r="R85" s="8"/>
      <c r="S85" s="8"/>
      <c r="T85" s="48"/>
      <c r="U85" s="8"/>
      <c r="V85" s="16"/>
    </row>
    <row r="86" spans="1:22" ht="12" x14ac:dyDescent="0.15">
      <c r="A86" s="6" t="s">
        <v>16</v>
      </c>
      <c r="B86" s="7" t="s">
        <v>17</v>
      </c>
      <c r="C86" s="7" t="s">
        <v>18</v>
      </c>
      <c r="D86" s="7">
        <v>36</v>
      </c>
      <c r="E86" s="8" t="s">
        <v>228</v>
      </c>
      <c r="F86" s="9">
        <v>45047</v>
      </c>
      <c r="G86" s="9">
        <v>46142</v>
      </c>
      <c r="H86" s="8">
        <v>1</v>
      </c>
      <c r="I86" s="8"/>
      <c r="J86" s="14" t="s">
        <v>35</v>
      </c>
      <c r="K86" s="14" t="s">
        <v>20</v>
      </c>
      <c r="L86" s="14" t="s">
        <v>121</v>
      </c>
      <c r="M86" s="10"/>
      <c r="N86" s="8" t="s">
        <v>21</v>
      </c>
      <c r="O86" s="8" t="str">
        <f>_xlfn.XLOOKUP(Table1[[#This Row],[Serial Number]],[1]Apr!$O:$O,[1]Apr!$F:$F)</f>
        <v>SCOMADI (Thailand) Co., Ltd.</v>
      </c>
      <c r="P86" s="8" t="s">
        <v>377</v>
      </c>
      <c r="Q86" s="46" t="s">
        <v>384</v>
      </c>
      <c r="R86" s="8"/>
      <c r="S86" s="8"/>
      <c r="T86" s="48"/>
      <c r="U86" s="8"/>
      <c r="V86" s="16"/>
    </row>
    <row r="87" spans="1:22" ht="12" x14ac:dyDescent="0.15">
      <c r="A87" s="6" t="s">
        <v>16</v>
      </c>
      <c r="B87" s="7" t="s">
        <v>17</v>
      </c>
      <c r="C87" s="7" t="s">
        <v>18</v>
      </c>
      <c r="D87" s="7">
        <v>36</v>
      </c>
      <c r="E87" s="8" t="s">
        <v>228</v>
      </c>
      <c r="F87" s="9">
        <v>45047</v>
      </c>
      <c r="G87" s="9">
        <v>46142</v>
      </c>
      <c r="H87" s="8">
        <v>1</v>
      </c>
      <c r="I87" s="8"/>
      <c r="J87" s="14" t="s">
        <v>35</v>
      </c>
      <c r="K87" s="14" t="s">
        <v>20</v>
      </c>
      <c r="L87" s="14" t="s">
        <v>122</v>
      </c>
      <c r="M87" s="10"/>
      <c r="N87" s="8" t="s">
        <v>21</v>
      </c>
      <c r="O87" s="8" t="str">
        <f>_xlfn.XLOOKUP(Table1[[#This Row],[Serial Number]],[1]Apr!$O:$O,[1]Apr!$F:$F)</f>
        <v>SCOMADI (Thailand) Co., Ltd.</v>
      </c>
      <c r="P87" s="8" t="s">
        <v>377</v>
      </c>
      <c r="Q87" s="46" t="s">
        <v>384</v>
      </c>
      <c r="R87" s="8"/>
      <c r="S87" s="8"/>
      <c r="T87" s="48"/>
      <c r="U87" s="8"/>
      <c r="V87" s="16"/>
    </row>
    <row r="88" spans="1:22" ht="12" x14ac:dyDescent="0.15">
      <c r="A88" s="6" t="s">
        <v>16</v>
      </c>
      <c r="B88" s="7" t="s">
        <v>17</v>
      </c>
      <c r="C88" s="7" t="s">
        <v>18</v>
      </c>
      <c r="D88" s="7">
        <v>36</v>
      </c>
      <c r="E88" s="8" t="s">
        <v>228</v>
      </c>
      <c r="F88" s="9">
        <v>45047</v>
      </c>
      <c r="G88" s="9">
        <v>46142</v>
      </c>
      <c r="H88" s="8">
        <v>1</v>
      </c>
      <c r="I88" s="8"/>
      <c r="J88" s="14" t="s">
        <v>35</v>
      </c>
      <c r="K88" s="14" t="s">
        <v>20</v>
      </c>
      <c r="L88" s="14" t="s">
        <v>123</v>
      </c>
      <c r="M88" s="10"/>
      <c r="N88" s="8" t="s">
        <v>21</v>
      </c>
      <c r="O88" s="8" t="str">
        <f>_xlfn.XLOOKUP(Table1[[#This Row],[Serial Number]],[1]Apr!$O:$O,[1]Apr!$F:$F)</f>
        <v>AVANI Pattaya Resort &amp; Spa</v>
      </c>
      <c r="P88" s="8" t="s">
        <v>377</v>
      </c>
      <c r="Q88" s="46" t="s">
        <v>384</v>
      </c>
      <c r="R88" s="8"/>
      <c r="S88" s="8"/>
      <c r="T88" s="48"/>
      <c r="U88" s="8"/>
      <c r="V88" s="16"/>
    </row>
    <row r="89" spans="1:22" ht="12" x14ac:dyDescent="0.15">
      <c r="A89" s="6" t="s">
        <v>16</v>
      </c>
      <c r="B89" s="7" t="s">
        <v>17</v>
      </c>
      <c r="C89" s="7" t="s">
        <v>18</v>
      </c>
      <c r="D89" s="7">
        <v>36</v>
      </c>
      <c r="E89" s="8" t="s">
        <v>228</v>
      </c>
      <c r="F89" s="9">
        <v>45047</v>
      </c>
      <c r="G89" s="9">
        <v>46142</v>
      </c>
      <c r="H89" s="8">
        <v>1</v>
      </c>
      <c r="I89" s="8"/>
      <c r="J89" s="14" t="s">
        <v>35</v>
      </c>
      <c r="K89" s="14" t="s">
        <v>20</v>
      </c>
      <c r="L89" s="14" t="s">
        <v>124</v>
      </c>
      <c r="M89" s="10"/>
      <c r="N89" s="8" t="s">
        <v>21</v>
      </c>
      <c r="O89" s="8" t="str">
        <f>_xlfn.XLOOKUP(Table1[[#This Row],[Serial Number]],[1]Apr!$O:$O,[1]Apr!$F:$F)</f>
        <v>AVANI Pattaya Resort &amp; Spa</v>
      </c>
      <c r="P89" s="8" t="s">
        <v>377</v>
      </c>
      <c r="Q89" s="46" t="s">
        <v>384</v>
      </c>
      <c r="R89" s="8"/>
      <c r="S89" s="8"/>
      <c r="T89" s="48"/>
      <c r="U89" s="8"/>
      <c r="V89" s="16"/>
    </row>
    <row r="90" spans="1:22" ht="12" x14ac:dyDescent="0.15">
      <c r="A90" s="6" t="s">
        <v>16</v>
      </c>
      <c r="B90" s="7" t="s">
        <v>17</v>
      </c>
      <c r="C90" s="7" t="s">
        <v>18</v>
      </c>
      <c r="D90" s="7">
        <v>36</v>
      </c>
      <c r="E90" s="8" t="s">
        <v>228</v>
      </c>
      <c r="F90" s="9">
        <v>45047</v>
      </c>
      <c r="G90" s="9">
        <v>46142</v>
      </c>
      <c r="H90" s="8">
        <v>1</v>
      </c>
      <c r="I90" s="8"/>
      <c r="J90" s="14" t="s">
        <v>89</v>
      </c>
      <c r="K90" s="14" t="s">
        <v>20</v>
      </c>
      <c r="L90" s="14" t="s">
        <v>125</v>
      </c>
      <c r="M90" s="10"/>
      <c r="N90" s="8" t="s">
        <v>21</v>
      </c>
      <c r="O90" s="8" t="str">
        <f>_xlfn.XLOOKUP(Table1[[#This Row],[Serial Number]],[1]Apr!$O:$O,[1]Apr!$F:$F)</f>
        <v>Anantara Vacation Club Phuket</v>
      </c>
      <c r="P90" s="8" t="s">
        <v>377</v>
      </c>
      <c r="Q90" s="46" t="s">
        <v>384</v>
      </c>
      <c r="R90" s="8"/>
      <c r="S90" s="8"/>
      <c r="T90" s="48"/>
      <c r="U90" s="8"/>
      <c r="V90" s="16"/>
    </row>
    <row r="91" spans="1:22" ht="12" x14ac:dyDescent="0.15">
      <c r="A91" s="6" t="s">
        <v>16</v>
      </c>
      <c r="B91" s="7" t="s">
        <v>17</v>
      </c>
      <c r="C91" s="7" t="s">
        <v>18</v>
      </c>
      <c r="D91" s="7">
        <v>36</v>
      </c>
      <c r="E91" s="8" t="s">
        <v>228</v>
      </c>
      <c r="F91" s="9">
        <v>45047</v>
      </c>
      <c r="G91" s="9">
        <v>46142</v>
      </c>
      <c r="H91" s="8">
        <v>1</v>
      </c>
      <c r="I91" s="8"/>
      <c r="J91" s="14" t="s">
        <v>89</v>
      </c>
      <c r="K91" s="14" t="s">
        <v>20</v>
      </c>
      <c r="L91" s="14" t="s">
        <v>126</v>
      </c>
      <c r="M91" s="10"/>
      <c r="N91" s="8" t="s">
        <v>21</v>
      </c>
      <c r="O91" s="8" t="str">
        <f>_xlfn.XLOOKUP(Table1[[#This Row],[Serial Number]],[1]Apr!$O:$O,[1]Apr!$F:$F)</f>
        <v>Anantara Vacation Club Phuket</v>
      </c>
      <c r="P91" s="8" t="s">
        <v>377</v>
      </c>
      <c r="Q91" s="46" t="s">
        <v>384</v>
      </c>
      <c r="R91" s="8"/>
      <c r="S91" s="8"/>
      <c r="T91" s="48"/>
      <c r="U91" s="8"/>
      <c r="V91" s="16"/>
    </row>
    <row r="92" spans="1:22" ht="12" x14ac:dyDescent="0.15">
      <c r="A92" s="6" t="s">
        <v>16</v>
      </c>
      <c r="B92" s="7" t="s">
        <v>17</v>
      </c>
      <c r="C92" s="7" t="s">
        <v>18</v>
      </c>
      <c r="D92" s="7">
        <v>36</v>
      </c>
      <c r="E92" s="8" t="s">
        <v>228</v>
      </c>
      <c r="F92" s="9">
        <v>45047</v>
      </c>
      <c r="G92" s="9">
        <v>46142</v>
      </c>
      <c r="H92" s="8">
        <v>1</v>
      </c>
      <c r="I92" s="8"/>
      <c r="J92" s="14" t="s">
        <v>89</v>
      </c>
      <c r="K92" s="14" t="s">
        <v>20</v>
      </c>
      <c r="L92" s="14" t="s">
        <v>127</v>
      </c>
      <c r="M92" s="10"/>
      <c r="N92" s="8" t="s">
        <v>21</v>
      </c>
      <c r="O92" s="8" t="str">
        <f>_xlfn.XLOOKUP(Table1[[#This Row],[Serial Number]],[1]Apr!$O:$O,[1]Apr!$F:$F)</f>
        <v>Anantara Vacation Club Phuket</v>
      </c>
      <c r="P92" s="8" t="s">
        <v>377</v>
      </c>
      <c r="Q92" s="46" t="s">
        <v>384</v>
      </c>
      <c r="R92" s="8"/>
      <c r="S92" s="8"/>
      <c r="T92" s="48"/>
      <c r="U92" s="8"/>
      <c r="V92" s="16"/>
    </row>
    <row r="93" spans="1:22" ht="12" x14ac:dyDescent="0.15">
      <c r="A93" s="6" t="s">
        <v>16</v>
      </c>
      <c r="B93" s="7" t="s">
        <v>17</v>
      </c>
      <c r="C93" s="7" t="s">
        <v>18</v>
      </c>
      <c r="D93" s="7">
        <v>36</v>
      </c>
      <c r="E93" s="8" t="s">
        <v>228</v>
      </c>
      <c r="F93" s="9">
        <v>45047</v>
      </c>
      <c r="G93" s="9">
        <v>46142</v>
      </c>
      <c r="H93" s="8">
        <v>1</v>
      </c>
      <c r="I93" s="8"/>
      <c r="J93" s="14" t="s">
        <v>89</v>
      </c>
      <c r="K93" s="14" t="s">
        <v>20</v>
      </c>
      <c r="L93" s="14" t="s">
        <v>128</v>
      </c>
      <c r="M93" s="10"/>
      <c r="N93" s="8" t="s">
        <v>21</v>
      </c>
      <c r="O93" s="8" t="str">
        <f>_xlfn.XLOOKUP(Table1[[#This Row],[Serial Number]],[1]Apr!$O:$O,[1]Apr!$F:$F)</f>
        <v>Anantara Vacation Club Phuket</v>
      </c>
      <c r="P93" s="8" t="s">
        <v>377</v>
      </c>
      <c r="Q93" s="46" t="s">
        <v>384</v>
      </c>
      <c r="R93" s="8"/>
      <c r="S93" s="8"/>
      <c r="T93" s="48"/>
      <c r="U93" s="8"/>
      <c r="V93" s="16"/>
    </row>
    <row r="94" spans="1:22" ht="12" x14ac:dyDescent="0.15">
      <c r="A94" s="6" t="s">
        <v>16</v>
      </c>
      <c r="B94" s="7" t="s">
        <v>17</v>
      </c>
      <c r="C94" s="7" t="s">
        <v>18</v>
      </c>
      <c r="D94" s="7">
        <v>36</v>
      </c>
      <c r="E94" s="8" t="s">
        <v>228</v>
      </c>
      <c r="F94" s="9">
        <v>45047</v>
      </c>
      <c r="G94" s="9">
        <v>46142</v>
      </c>
      <c r="H94" s="8">
        <v>1</v>
      </c>
      <c r="I94" s="8"/>
      <c r="J94" s="14" t="s">
        <v>89</v>
      </c>
      <c r="K94" s="14" t="s">
        <v>20</v>
      </c>
      <c r="L94" s="14" t="s">
        <v>129</v>
      </c>
      <c r="M94" s="10"/>
      <c r="N94" s="8" t="s">
        <v>21</v>
      </c>
      <c r="O94" s="8" t="str">
        <f>_xlfn.XLOOKUP(Table1[[#This Row],[Serial Number]],[1]Apr!$O:$O,[1]Apr!$F:$F)</f>
        <v>Anantara Vacation Club Phuket</v>
      </c>
      <c r="P94" s="8" t="s">
        <v>377</v>
      </c>
      <c r="Q94" s="46" t="s">
        <v>384</v>
      </c>
      <c r="R94" s="8"/>
      <c r="S94" s="8"/>
      <c r="T94" s="48"/>
      <c r="U94" s="8"/>
      <c r="V94" s="16"/>
    </row>
    <row r="95" spans="1:22" ht="12" x14ac:dyDescent="0.15">
      <c r="A95" s="6" t="s">
        <v>16</v>
      </c>
      <c r="B95" s="7" t="s">
        <v>17</v>
      </c>
      <c r="C95" s="7" t="s">
        <v>18</v>
      </c>
      <c r="D95" s="7">
        <v>36</v>
      </c>
      <c r="E95" s="8" t="s">
        <v>228</v>
      </c>
      <c r="F95" s="9">
        <v>45047</v>
      </c>
      <c r="G95" s="9">
        <v>46142</v>
      </c>
      <c r="H95" s="8">
        <v>1</v>
      </c>
      <c r="I95" s="8"/>
      <c r="J95" s="14" t="s">
        <v>89</v>
      </c>
      <c r="K95" s="14" t="s">
        <v>20</v>
      </c>
      <c r="L95" s="14" t="s">
        <v>130</v>
      </c>
      <c r="M95" s="10"/>
      <c r="N95" s="8" t="s">
        <v>21</v>
      </c>
      <c r="O95" s="8" t="str">
        <f>_xlfn.XLOOKUP(Table1[[#This Row],[Serial Number]],[1]Apr!$O:$O,[1]Apr!$F:$F)</f>
        <v>Anantara Vacation Club Phuket</v>
      </c>
      <c r="P95" s="8" t="s">
        <v>377</v>
      </c>
      <c r="Q95" s="46" t="s">
        <v>384</v>
      </c>
      <c r="R95" s="8"/>
      <c r="S95" s="8"/>
      <c r="T95" s="48"/>
      <c r="U95" s="8"/>
      <c r="V95" s="16"/>
    </row>
    <row r="96" spans="1:22" ht="12" x14ac:dyDescent="0.15">
      <c r="A96" s="6" t="s">
        <v>16</v>
      </c>
      <c r="B96" s="7" t="s">
        <v>17</v>
      </c>
      <c r="C96" s="7" t="s">
        <v>18</v>
      </c>
      <c r="D96" s="7">
        <v>36</v>
      </c>
      <c r="E96" s="8" t="s">
        <v>228</v>
      </c>
      <c r="F96" s="9">
        <v>45047</v>
      </c>
      <c r="G96" s="9">
        <v>46142</v>
      </c>
      <c r="H96" s="8">
        <v>1</v>
      </c>
      <c r="I96" s="8"/>
      <c r="J96" s="14" t="s">
        <v>89</v>
      </c>
      <c r="K96" s="14" t="s">
        <v>20</v>
      </c>
      <c r="L96" s="14" t="s">
        <v>131</v>
      </c>
      <c r="M96" s="10"/>
      <c r="N96" s="8" t="s">
        <v>21</v>
      </c>
      <c r="O96" s="8" t="str">
        <f>_xlfn.XLOOKUP(Table1[[#This Row],[Serial Number]],[1]Apr!$O:$O,[1]Apr!$F:$F)</f>
        <v>Anantara Vacation Club Phuket</v>
      </c>
      <c r="P96" s="8" t="s">
        <v>377</v>
      </c>
      <c r="Q96" s="46" t="s">
        <v>384</v>
      </c>
      <c r="R96" s="8"/>
      <c r="S96" s="8"/>
      <c r="T96" s="48"/>
      <c r="U96" s="8"/>
      <c r="V96" s="16"/>
    </row>
    <row r="97" spans="1:22" ht="12" x14ac:dyDescent="0.15">
      <c r="A97" s="6" t="s">
        <v>16</v>
      </c>
      <c r="B97" s="7" t="s">
        <v>17</v>
      </c>
      <c r="C97" s="7" t="s">
        <v>18</v>
      </c>
      <c r="D97" s="7">
        <v>36</v>
      </c>
      <c r="E97" s="8" t="s">
        <v>228</v>
      </c>
      <c r="F97" s="9">
        <v>45047</v>
      </c>
      <c r="G97" s="9">
        <v>46142</v>
      </c>
      <c r="H97" s="8">
        <v>1</v>
      </c>
      <c r="I97" s="8"/>
      <c r="J97" s="14" t="s">
        <v>89</v>
      </c>
      <c r="K97" s="14" t="s">
        <v>20</v>
      </c>
      <c r="L97" s="14" t="s">
        <v>132</v>
      </c>
      <c r="M97" s="10"/>
      <c r="N97" s="8" t="s">
        <v>21</v>
      </c>
      <c r="O97" s="8" t="str">
        <f>_xlfn.XLOOKUP(Table1[[#This Row],[Serial Number]],[1]Apr!$O:$O,[1]Apr!$F:$F)</f>
        <v>Anantara Vacation Club Phuket</v>
      </c>
      <c r="P97" s="8" t="s">
        <v>377</v>
      </c>
      <c r="Q97" s="46" t="s">
        <v>384</v>
      </c>
      <c r="R97" s="8"/>
      <c r="S97" s="8"/>
      <c r="T97" s="48"/>
      <c r="U97" s="8"/>
      <c r="V97" s="16"/>
    </row>
    <row r="98" spans="1:22" ht="12" x14ac:dyDescent="0.15">
      <c r="A98" s="6" t="s">
        <v>16</v>
      </c>
      <c r="B98" s="7" t="s">
        <v>17</v>
      </c>
      <c r="C98" s="7" t="s">
        <v>18</v>
      </c>
      <c r="D98" s="7">
        <v>36</v>
      </c>
      <c r="E98" s="8" t="s">
        <v>228</v>
      </c>
      <c r="F98" s="9">
        <v>45047</v>
      </c>
      <c r="G98" s="9">
        <v>46142</v>
      </c>
      <c r="H98" s="8">
        <v>1</v>
      </c>
      <c r="I98" s="8"/>
      <c r="J98" s="14" t="s">
        <v>89</v>
      </c>
      <c r="K98" s="14" t="s">
        <v>20</v>
      </c>
      <c r="L98" s="14" t="s">
        <v>133</v>
      </c>
      <c r="M98" s="10"/>
      <c r="N98" s="8" t="s">
        <v>21</v>
      </c>
      <c r="O98" s="8" t="str">
        <f>_xlfn.XLOOKUP(Table1[[#This Row],[Serial Number]],[1]Apr!$O:$O,[1]Apr!$F:$F)</f>
        <v>Anantara Vacation Club Phuket</v>
      </c>
      <c r="P98" s="8" t="s">
        <v>377</v>
      </c>
      <c r="Q98" s="46" t="s">
        <v>384</v>
      </c>
      <c r="R98" s="8"/>
      <c r="S98" s="8"/>
      <c r="T98" s="48"/>
      <c r="U98" s="8"/>
      <c r="V98" s="16"/>
    </row>
    <row r="99" spans="1:22" ht="12" x14ac:dyDescent="0.15">
      <c r="A99" s="6" t="s">
        <v>16</v>
      </c>
      <c r="B99" s="7" t="s">
        <v>17</v>
      </c>
      <c r="C99" s="7" t="s">
        <v>18</v>
      </c>
      <c r="D99" s="7">
        <v>36</v>
      </c>
      <c r="E99" s="8" t="s">
        <v>228</v>
      </c>
      <c r="F99" s="9">
        <v>45047</v>
      </c>
      <c r="G99" s="9">
        <v>46142</v>
      </c>
      <c r="H99" s="8">
        <v>1</v>
      </c>
      <c r="I99" s="8"/>
      <c r="J99" s="14" t="s">
        <v>89</v>
      </c>
      <c r="K99" s="14" t="s">
        <v>20</v>
      </c>
      <c r="L99" s="14" t="s">
        <v>134</v>
      </c>
      <c r="M99" s="10"/>
      <c r="N99" s="8" t="s">
        <v>21</v>
      </c>
      <c r="O99" s="8" t="str">
        <f>_xlfn.XLOOKUP(Table1[[#This Row],[Serial Number]],[1]Apr!$O:$O,[1]Apr!$F:$F)</f>
        <v>Anantara Vacation Club Phuket</v>
      </c>
      <c r="P99" s="8" t="s">
        <v>377</v>
      </c>
      <c r="Q99" s="46" t="s">
        <v>384</v>
      </c>
      <c r="R99" s="8"/>
      <c r="S99" s="8"/>
      <c r="T99" s="48"/>
      <c r="U99" s="8"/>
      <c r="V99" s="16"/>
    </row>
    <row r="100" spans="1:22" ht="12" x14ac:dyDescent="0.15">
      <c r="A100" s="6" t="s">
        <v>16</v>
      </c>
      <c r="B100" s="7" t="s">
        <v>17</v>
      </c>
      <c r="C100" s="7" t="s">
        <v>18</v>
      </c>
      <c r="D100" s="7">
        <v>36</v>
      </c>
      <c r="E100" s="8" t="s">
        <v>228</v>
      </c>
      <c r="F100" s="9">
        <v>45047</v>
      </c>
      <c r="G100" s="9">
        <v>46142</v>
      </c>
      <c r="H100" s="8">
        <v>1</v>
      </c>
      <c r="I100" s="8"/>
      <c r="J100" s="14" t="s">
        <v>89</v>
      </c>
      <c r="K100" s="14" t="s">
        <v>20</v>
      </c>
      <c r="L100" s="14" t="s">
        <v>135</v>
      </c>
      <c r="M100" s="10"/>
      <c r="N100" s="8" t="s">
        <v>21</v>
      </c>
      <c r="O100" s="8" t="str">
        <f>_xlfn.XLOOKUP(Table1[[#This Row],[Serial Number]],[1]Apr!$O:$O,[1]Apr!$F:$F)</f>
        <v>Anantara Vacation Club Phuket</v>
      </c>
      <c r="P100" s="8" t="s">
        <v>377</v>
      </c>
      <c r="Q100" s="46" t="s">
        <v>384</v>
      </c>
      <c r="R100" s="8"/>
      <c r="S100" s="8"/>
      <c r="T100" s="48"/>
      <c r="U100" s="8"/>
      <c r="V100" s="16"/>
    </row>
    <row r="101" spans="1:22" ht="12" x14ac:dyDescent="0.15">
      <c r="A101" s="6" t="s">
        <v>16</v>
      </c>
      <c r="B101" s="7" t="s">
        <v>17</v>
      </c>
      <c r="C101" s="7" t="s">
        <v>18</v>
      </c>
      <c r="D101" s="7">
        <v>36</v>
      </c>
      <c r="E101" s="8" t="s">
        <v>228</v>
      </c>
      <c r="F101" s="9">
        <v>45047</v>
      </c>
      <c r="G101" s="9">
        <v>46142</v>
      </c>
      <c r="H101" s="8">
        <v>1</v>
      </c>
      <c r="I101" s="8"/>
      <c r="J101" s="14" t="s">
        <v>32</v>
      </c>
      <c r="K101" s="14" t="s">
        <v>20</v>
      </c>
      <c r="L101" s="14" t="s">
        <v>136</v>
      </c>
      <c r="M101" s="10"/>
      <c r="N101" s="8" t="s">
        <v>21</v>
      </c>
      <c r="O101" s="8" t="str">
        <f>_xlfn.XLOOKUP(Table1[[#This Row],[Serial Number]],[1]Apr!$O:$O,[1]Apr!$F:$F)</f>
        <v>Anantara Vacation Club Phuket</v>
      </c>
      <c r="P101" s="8" t="s">
        <v>377</v>
      </c>
      <c r="Q101" s="46" t="s">
        <v>384</v>
      </c>
      <c r="R101" s="8"/>
      <c r="S101" s="8"/>
      <c r="T101" s="48"/>
      <c r="U101" s="8"/>
      <c r="V101" s="16"/>
    </row>
    <row r="102" spans="1:22" ht="12" x14ac:dyDescent="0.15">
      <c r="A102" s="6" t="s">
        <v>16</v>
      </c>
      <c r="B102" s="7" t="s">
        <v>17</v>
      </c>
      <c r="C102" s="7" t="s">
        <v>18</v>
      </c>
      <c r="D102" s="7">
        <v>36</v>
      </c>
      <c r="E102" s="8" t="s">
        <v>228</v>
      </c>
      <c r="F102" s="9">
        <v>45047</v>
      </c>
      <c r="G102" s="9">
        <v>46142</v>
      </c>
      <c r="H102" s="8">
        <v>1</v>
      </c>
      <c r="I102" s="8"/>
      <c r="J102" s="14" t="s">
        <v>89</v>
      </c>
      <c r="K102" s="14" t="s">
        <v>20</v>
      </c>
      <c r="L102" s="14" t="s">
        <v>137</v>
      </c>
      <c r="M102" s="10"/>
      <c r="N102" s="8" t="s">
        <v>21</v>
      </c>
      <c r="O102" s="8" t="str">
        <f>_xlfn.XLOOKUP(Table1[[#This Row],[Serial Number]],[1]Apr!$O:$O,[1]Apr!$F:$F)</f>
        <v>Anantara Vacation Club Phuket</v>
      </c>
      <c r="P102" s="8" t="s">
        <v>377</v>
      </c>
      <c r="Q102" s="46" t="s">
        <v>384</v>
      </c>
      <c r="R102" s="8"/>
      <c r="S102" s="8"/>
      <c r="T102" s="48"/>
      <c r="U102" s="8"/>
      <c r="V102" s="16"/>
    </row>
    <row r="103" spans="1:22" ht="12" x14ac:dyDescent="0.15">
      <c r="A103" s="6" t="s">
        <v>16</v>
      </c>
      <c r="B103" s="7" t="s">
        <v>17</v>
      </c>
      <c r="C103" s="7" t="s">
        <v>18</v>
      </c>
      <c r="D103" s="7">
        <v>36</v>
      </c>
      <c r="E103" s="8" t="s">
        <v>228</v>
      </c>
      <c r="F103" s="9">
        <v>45047</v>
      </c>
      <c r="G103" s="9">
        <v>46142</v>
      </c>
      <c r="H103" s="8">
        <v>1</v>
      </c>
      <c r="I103" s="8"/>
      <c r="J103" s="14" t="s">
        <v>89</v>
      </c>
      <c r="K103" s="14" t="s">
        <v>20</v>
      </c>
      <c r="L103" s="14" t="s">
        <v>138</v>
      </c>
      <c r="M103" s="10"/>
      <c r="N103" s="8" t="s">
        <v>21</v>
      </c>
      <c r="O103" s="8" t="str">
        <f>_xlfn.XLOOKUP(Table1[[#This Row],[Serial Number]],[1]Apr!$O:$O,[1]Apr!$F:$F)</f>
        <v>Anantara Vacation Club Phuket</v>
      </c>
      <c r="P103" s="8" t="s">
        <v>377</v>
      </c>
      <c r="Q103" s="46" t="s">
        <v>384</v>
      </c>
      <c r="R103" s="8"/>
      <c r="S103" s="8"/>
      <c r="T103" s="48"/>
      <c r="U103" s="8"/>
      <c r="V103" s="16"/>
    </row>
    <row r="104" spans="1:22" ht="12" hidden="1" x14ac:dyDescent="0.15">
      <c r="A104" s="6" t="s">
        <v>16</v>
      </c>
      <c r="B104" s="7" t="s">
        <v>17</v>
      </c>
      <c r="C104" s="7" t="s">
        <v>18</v>
      </c>
      <c r="D104" s="7">
        <v>36</v>
      </c>
      <c r="E104" s="8" t="s">
        <v>228</v>
      </c>
      <c r="F104" s="9">
        <v>45047</v>
      </c>
      <c r="G104" s="9">
        <v>46142</v>
      </c>
      <c r="H104" s="8">
        <v>1</v>
      </c>
      <c r="I104" s="8"/>
      <c r="J104" s="14" t="s">
        <v>67</v>
      </c>
      <c r="K104" s="14" t="s">
        <v>20</v>
      </c>
      <c r="L104" s="14" t="s">
        <v>139</v>
      </c>
      <c r="M104" s="10"/>
      <c r="N104" s="8" t="s">
        <v>21</v>
      </c>
      <c r="O104" s="8" t="str">
        <f>_xlfn.XLOOKUP(Table1[[#This Row],[Serial Number]],[1]Apr!$O:$O,[1]Apr!$F:$F)</f>
        <v>Anantara Riverside Bangkok Resort</v>
      </c>
      <c r="P104" s="8" t="s">
        <v>375</v>
      </c>
      <c r="Q104" s="8"/>
      <c r="R104" s="8"/>
      <c r="S104" s="8"/>
      <c r="T104" s="8"/>
      <c r="U104" s="8"/>
      <c r="V104" s="16"/>
    </row>
    <row r="105" spans="1:22" ht="12" x14ac:dyDescent="0.15">
      <c r="A105" s="6" t="s">
        <v>16</v>
      </c>
      <c r="B105" s="7" t="s">
        <v>17</v>
      </c>
      <c r="C105" s="7" t="s">
        <v>18</v>
      </c>
      <c r="D105" s="7">
        <v>36</v>
      </c>
      <c r="E105" s="8" t="s">
        <v>228</v>
      </c>
      <c r="F105" s="9">
        <v>45047</v>
      </c>
      <c r="G105" s="9">
        <v>46142</v>
      </c>
      <c r="H105" s="8">
        <v>1</v>
      </c>
      <c r="I105" s="8"/>
      <c r="J105" s="14" t="s">
        <v>32</v>
      </c>
      <c r="K105" s="14" t="s">
        <v>20</v>
      </c>
      <c r="L105" s="14" t="s">
        <v>140</v>
      </c>
      <c r="M105" s="10"/>
      <c r="N105" s="8" t="s">
        <v>21</v>
      </c>
      <c r="O105" s="8" t="str">
        <f>_xlfn.XLOOKUP(Table1[[#This Row],[Serial Number]],[1]Apr!$O:$O,[1]Apr!$F:$F)</f>
        <v>Anantara Layan Phuket Resort</v>
      </c>
      <c r="P105" s="8" t="s">
        <v>377</v>
      </c>
      <c r="Q105" s="46" t="s">
        <v>387</v>
      </c>
      <c r="R105" s="8" t="s">
        <v>422</v>
      </c>
      <c r="S105" s="8"/>
      <c r="T105" s="48">
        <v>46149</v>
      </c>
      <c r="U105" s="8"/>
      <c r="V105" s="16"/>
    </row>
    <row r="106" spans="1:22" ht="12" x14ac:dyDescent="0.15">
      <c r="A106" s="6" t="s">
        <v>16</v>
      </c>
      <c r="B106" s="7" t="s">
        <v>17</v>
      </c>
      <c r="C106" s="7" t="s">
        <v>18</v>
      </c>
      <c r="D106" s="7">
        <v>36</v>
      </c>
      <c r="E106" s="8" t="s">
        <v>228</v>
      </c>
      <c r="F106" s="9">
        <v>45047</v>
      </c>
      <c r="G106" s="9">
        <v>46142</v>
      </c>
      <c r="H106" s="8">
        <v>1</v>
      </c>
      <c r="I106" s="8"/>
      <c r="J106" s="14" t="s">
        <v>32</v>
      </c>
      <c r="K106" s="14" t="s">
        <v>20</v>
      </c>
      <c r="L106" s="14" t="s">
        <v>141</v>
      </c>
      <c r="M106" s="10"/>
      <c r="N106" s="8" t="s">
        <v>21</v>
      </c>
      <c r="O106" s="8" t="str">
        <f>_xlfn.XLOOKUP(Table1[[#This Row],[Serial Number]],[1]Apr!$O:$O,[1]Apr!$F:$F)</f>
        <v>Anantara Layan Phuket Resort</v>
      </c>
      <c r="P106" s="8" t="s">
        <v>377</v>
      </c>
      <c r="Q106" s="46" t="s">
        <v>387</v>
      </c>
      <c r="R106" s="8" t="s">
        <v>422</v>
      </c>
      <c r="S106" s="8"/>
      <c r="T106" s="48" t="s">
        <v>423</v>
      </c>
      <c r="U106" s="8"/>
      <c r="V106" s="16"/>
    </row>
    <row r="107" spans="1:22" ht="12" x14ac:dyDescent="0.15">
      <c r="A107" s="6" t="s">
        <v>16</v>
      </c>
      <c r="B107" s="7" t="s">
        <v>17</v>
      </c>
      <c r="C107" s="7" t="s">
        <v>18</v>
      </c>
      <c r="D107" s="7">
        <v>36</v>
      </c>
      <c r="E107" s="8" t="s">
        <v>228</v>
      </c>
      <c r="F107" s="9">
        <v>45047</v>
      </c>
      <c r="G107" s="9">
        <v>46142</v>
      </c>
      <c r="H107" s="8">
        <v>1</v>
      </c>
      <c r="I107" s="8"/>
      <c r="J107" s="14" t="s">
        <v>32</v>
      </c>
      <c r="K107" s="14" t="s">
        <v>20</v>
      </c>
      <c r="L107" s="14" t="s">
        <v>142</v>
      </c>
      <c r="M107" s="10"/>
      <c r="N107" s="8" t="s">
        <v>21</v>
      </c>
      <c r="O107" s="8" t="str">
        <f>_xlfn.XLOOKUP(Table1[[#This Row],[Serial Number]],[1]Apr!$O:$O,[1]Apr!$F:$F)</f>
        <v>Anantara Maikhao Phuket Villas</v>
      </c>
      <c r="P107" s="8" t="s">
        <v>377</v>
      </c>
      <c r="Q107" s="46" t="s">
        <v>387</v>
      </c>
      <c r="R107" s="8" t="s">
        <v>422</v>
      </c>
      <c r="S107" s="8"/>
      <c r="T107" s="48">
        <v>46149</v>
      </c>
      <c r="U107" s="8"/>
      <c r="V107" s="16"/>
    </row>
    <row r="108" spans="1:22" ht="12" hidden="1" x14ac:dyDescent="0.15">
      <c r="A108" s="6" t="s">
        <v>16</v>
      </c>
      <c r="B108" s="7" t="s">
        <v>17</v>
      </c>
      <c r="C108" s="7" t="s">
        <v>18</v>
      </c>
      <c r="D108" s="7">
        <v>36</v>
      </c>
      <c r="E108" s="8" t="s">
        <v>228</v>
      </c>
      <c r="F108" s="9">
        <v>45047</v>
      </c>
      <c r="G108" s="9">
        <v>46142</v>
      </c>
      <c r="H108" s="8">
        <v>1</v>
      </c>
      <c r="I108" s="8"/>
      <c r="J108" s="14" t="s">
        <v>143</v>
      </c>
      <c r="K108" s="14" t="s">
        <v>20</v>
      </c>
      <c r="L108" s="14" t="s">
        <v>144</v>
      </c>
      <c r="M108" s="10"/>
      <c r="N108" s="8" t="s">
        <v>21</v>
      </c>
      <c r="O108" s="8" t="str">
        <f>_xlfn.XLOOKUP(Table1[[#This Row],[Serial Number]],[1]Apr!$O:$O,[1]Apr!$F:$F)</f>
        <v>Avani+ Riverside Bangkok Hotel</v>
      </c>
      <c r="P108" s="8" t="s">
        <v>375</v>
      </c>
      <c r="Q108" s="8"/>
      <c r="R108" s="8"/>
      <c r="S108" s="8"/>
      <c r="T108" s="8"/>
      <c r="U108" s="8"/>
      <c r="V108" s="16"/>
    </row>
    <row r="109" spans="1:22" ht="12" hidden="1" x14ac:dyDescent="0.15">
      <c r="A109" s="6" t="s">
        <v>16</v>
      </c>
      <c r="B109" s="7" t="s">
        <v>17</v>
      </c>
      <c r="C109" s="7" t="s">
        <v>18</v>
      </c>
      <c r="D109" s="7">
        <v>36</v>
      </c>
      <c r="E109" s="8" t="s">
        <v>228</v>
      </c>
      <c r="F109" s="9">
        <v>45047</v>
      </c>
      <c r="G109" s="9">
        <v>46142</v>
      </c>
      <c r="H109" s="8">
        <v>1</v>
      </c>
      <c r="I109" s="8"/>
      <c r="J109" s="14" t="s">
        <v>35</v>
      </c>
      <c r="K109" s="14" t="s">
        <v>20</v>
      </c>
      <c r="L109" s="14" t="s">
        <v>145</v>
      </c>
      <c r="M109" s="10"/>
      <c r="N109" s="8" t="s">
        <v>21</v>
      </c>
      <c r="O109" s="8" t="str">
        <f>_xlfn.XLOOKUP(Table1[[#This Row],[Serial Number]],[1]Apr!$O:$O,[1]Apr!$F:$F)</f>
        <v>Avani+ Riverside Bangkok Hotel</v>
      </c>
      <c r="P109" s="8" t="s">
        <v>375</v>
      </c>
      <c r="Q109" s="8"/>
      <c r="R109" s="8"/>
      <c r="S109" s="8"/>
      <c r="T109" s="8"/>
      <c r="U109" s="8"/>
      <c r="V109" s="16"/>
    </row>
    <row r="110" spans="1:22" ht="12" x14ac:dyDescent="0.15">
      <c r="A110" s="6" t="s">
        <v>16</v>
      </c>
      <c r="B110" s="7" t="s">
        <v>17</v>
      </c>
      <c r="C110" s="7" t="s">
        <v>18</v>
      </c>
      <c r="D110" s="7">
        <v>36</v>
      </c>
      <c r="E110" s="8" t="s">
        <v>228</v>
      </c>
      <c r="F110" s="9">
        <v>45047</v>
      </c>
      <c r="G110" s="9">
        <v>46142</v>
      </c>
      <c r="H110" s="8">
        <v>1</v>
      </c>
      <c r="I110" s="8"/>
      <c r="J110" s="14" t="s">
        <v>35</v>
      </c>
      <c r="K110" s="14" t="s">
        <v>20</v>
      </c>
      <c r="L110" s="14" t="s">
        <v>146</v>
      </c>
      <c r="M110" s="10"/>
      <c r="N110" s="8" t="s">
        <v>21</v>
      </c>
      <c r="O110" s="8" t="str">
        <f>_xlfn.XLOOKUP(Table1[[#This Row],[Serial Number]],[1]Apr!$O:$O,[1]Apr!$F:$F)</f>
        <v>Anantara Layan Phuket Resort</v>
      </c>
      <c r="P110" s="8" t="s">
        <v>377</v>
      </c>
      <c r="Q110" s="46" t="s">
        <v>387</v>
      </c>
      <c r="R110" s="8" t="str">
        <f>Table1[[#This Row],[Collection City (Required)]]</f>
        <v>Anantara Layan Phuket Resort</v>
      </c>
      <c r="S110" s="8"/>
      <c r="T110" s="48">
        <v>46149</v>
      </c>
      <c r="U110" s="8"/>
      <c r="V110" s="16"/>
    </row>
    <row r="111" spans="1:22" ht="12" x14ac:dyDescent="0.15">
      <c r="A111" s="6" t="s">
        <v>16</v>
      </c>
      <c r="B111" s="7" t="s">
        <v>17</v>
      </c>
      <c r="C111" s="7" t="s">
        <v>18</v>
      </c>
      <c r="D111" s="7">
        <v>36</v>
      </c>
      <c r="E111" s="8" t="s">
        <v>228</v>
      </c>
      <c r="F111" s="9">
        <v>45047</v>
      </c>
      <c r="G111" s="9">
        <v>46142</v>
      </c>
      <c r="H111" s="8">
        <v>1</v>
      </c>
      <c r="I111" s="8"/>
      <c r="J111" s="14" t="s">
        <v>32</v>
      </c>
      <c r="K111" s="14" t="s">
        <v>20</v>
      </c>
      <c r="L111" s="14" t="s">
        <v>147</v>
      </c>
      <c r="M111" s="10"/>
      <c r="N111" s="8" t="s">
        <v>21</v>
      </c>
      <c r="O111" s="8" t="str">
        <f>_xlfn.XLOOKUP(Table1[[#This Row],[Serial Number]],[1]Apr!$O:$O,[1]Apr!$F:$F)</f>
        <v>Anantara Layan Phuket Resort</v>
      </c>
      <c r="P111" s="8" t="s">
        <v>377</v>
      </c>
      <c r="Q111" s="46" t="s">
        <v>387</v>
      </c>
      <c r="R111" s="8" t="str">
        <f>_xlfn.XLOOKUP(Table1[[#This Row],[Serial Number]],[1]Apr!$O:$O,[1]Apr!$F:$F)</f>
        <v>Anantara Layan Phuket Resort</v>
      </c>
      <c r="S111" s="8"/>
      <c r="T111" s="48">
        <v>46140</v>
      </c>
      <c r="U111" s="8"/>
      <c r="V111" s="16"/>
    </row>
    <row r="112" spans="1:22" ht="12" x14ac:dyDescent="0.15">
      <c r="A112" s="6" t="s">
        <v>16</v>
      </c>
      <c r="B112" s="7" t="s">
        <v>17</v>
      </c>
      <c r="C112" s="7" t="s">
        <v>18</v>
      </c>
      <c r="D112" s="7">
        <v>36</v>
      </c>
      <c r="E112" s="8" t="s">
        <v>228</v>
      </c>
      <c r="F112" s="9">
        <v>45047</v>
      </c>
      <c r="G112" s="9">
        <v>46142</v>
      </c>
      <c r="H112" s="8">
        <v>1</v>
      </c>
      <c r="I112" s="8"/>
      <c r="J112" s="14" t="s">
        <v>39</v>
      </c>
      <c r="K112" s="14" t="s">
        <v>20</v>
      </c>
      <c r="L112" s="14" t="s">
        <v>148</v>
      </c>
      <c r="M112" s="10"/>
      <c r="N112" s="8" t="s">
        <v>21</v>
      </c>
      <c r="O112" s="8" t="str">
        <f>_xlfn.XLOOKUP(Table1[[#This Row],[Serial Number]],[1]Apr!$O:$O,[1]Apr!$F:$F)</f>
        <v>Anantara Layan Phuket Resort</v>
      </c>
      <c r="P112" s="8" t="s">
        <v>377</v>
      </c>
      <c r="Q112" s="46" t="s">
        <v>387</v>
      </c>
      <c r="R112" s="8" t="str">
        <f>_xlfn.XLOOKUP(Table1[[#This Row],[Serial Number]],[1]Apr!$O:$O,[1]Apr!$F:$F)</f>
        <v>Anantara Layan Phuket Resort</v>
      </c>
      <c r="S112" s="8"/>
      <c r="T112" s="48">
        <v>46140</v>
      </c>
      <c r="U112" s="8"/>
      <c r="V112" s="16"/>
    </row>
    <row r="113" spans="1:22" ht="12" hidden="1" x14ac:dyDescent="0.15">
      <c r="A113" s="6" t="s">
        <v>16</v>
      </c>
      <c r="B113" s="7" t="s">
        <v>17</v>
      </c>
      <c r="C113" s="7" t="s">
        <v>18</v>
      </c>
      <c r="D113" s="7">
        <v>36</v>
      </c>
      <c r="E113" s="8" t="s">
        <v>228</v>
      </c>
      <c r="F113" s="9">
        <v>45047</v>
      </c>
      <c r="G113" s="9">
        <v>46142</v>
      </c>
      <c r="H113" s="8">
        <v>1</v>
      </c>
      <c r="I113" s="8"/>
      <c r="J113" s="14" t="s">
        <v>35</v>
      </c>
      <c r="K113" s="14" t="s">
        <v>20</v>
      </c>
      <c r="L113" s="14" t="s">
        <v>149</v>
      </c>
      <c r="M113" s="10"/>
      <c r="N113" s="8" t="s">
        <v>21</v>
      </c>
      <c r="O113" s="8" t="str">
        <f>_xlfn.XLOOKUP(Table1[[#This Row],[Serial Number]],[1]Apr!$O:$O,[1]Apr!$F:$F)</f>
        <v>The ParQ</v>
      </c>
      <c r="P113" s="8" t="s">
        <v>375</v>
      </c>
      <c r="Q113" s="8"/>
      <c r="R113" s="8"/>
      <c r="S113" s="8"/>
      <c r="T113" s="8"/>
      <c r="U113" s="8"/>
      <c r="V113" s="16"/>
    </row>
    <row r="114" spans="1:22" ht="12" hidden="1" x14ac:dyDescent="0.15">
      <c r="A114" s="6" t="s">
        <v>16</v>
      </c>
      <c r="B114" s="7" t="s">
        <v>17</v>
      </c>
      <c r="C114" s="7" t="s">
        <v>18</v>
      </c>
      <c r="D114" s="7">
        <v>36</v>
      </c>
      <c r="E114" s="8" t="s">
        <v>228</v>
      </c>
      <c r="F114" s="9">
        <v>45047</v>
      </c>
      <c r="G114" s="9">
        <v>46142</v>
      </c>
      <c r="H114" s="8">
        <v>1</v>
      </c>
      <c r="I114" s="8"/>
      <c r="J114" s="14" t="s">
        <v>35</v>
      </c>
      <c r="K114" s="14" t="s">
        <v>20</v>
      </c>
      <c r="L114" s="14" t="s">
        <v>150</v>
      </c>
      <c r="M114" s="10"/>
      <c r="N114" s="8" t="s">
        <v>21</v>
      </c>
      <c r="O114" s="8" t="s">
        <v>22</v>
      </c>
      <c r="P114" s="8" t="s">
        <v>375</v>
      </c>
      <c r="Q114" s="8"/>
      <c r="R114" s="8"/>
      <c r="S114" s="8"/>
      <c r="T114" s="8"/>
      <c r="U114" s="8"/>
      <c r="V114" s="16"/>
    </row>
    <row r="115" spans="1:22" ht="12" hidden="1" x14ac:dyDescent="0.15">
      <c r="A115" s="6" t="s">
        <v>16</v>
      </c>
      <c r="B115" s="7" t="s">
        <v>17</v>
      </c>
      <c r="C115" s="7" t="s">
        <v>18</v>
      </c>
      <c r="D115" s="7">
        <v>36</v>
      </c>
      <c r="E115" s="8" t="s">
        <v>228</v>
      </c>
      <c r="F115" s="9">
        <v>45047</v>
      </c>
      <c r="G115" s="9">
        <v>46142</v>
      </c>
      <c r="H115" s="8">
        <v>1</v>
      </c>
      <c r="I115" s="8"/>
      <c r="J115" s="14" t="s">
        <v>39</v>
      </c>
      <c r="K115" s="14" t="s">
        <v>20</v>
      </c>
      <c r="L115" s="14" t="s">
        <v>151</v>
      </c>
      <c r="M115" s="10"/>
      <c r="N115" s="8" t="s">
        <v>21</v>
      </c>
      <c r="O115" s="8" t="str">
        <f>_xlfn.XLOOKUP(Table1[[#This Row],[Serial Number]],[1]Apr!$O:$O,[1]Apr!$F:$F)</f>
        <v>The ParQ</v>
      </c>
      <c r="P115" s="8" t="s">
        <v>375</v>
      </c>
      <c r="Q115" s="8"/>
      <c r="R115" s="8"/>
      <c r="S115" s="8"/>
      <c r="T115" s="8"/>
      <c r="U115" s="8"/>
      <c r="V115" s="16"/>
    </row>
    <row r="116" spans="1:22" ht="12" hidden="1" x14ac:dyDescent="0.15">
      <c r="A116" s="6" t="s">
        <v>16</v>
      </c>
      <c r="B116" s="7" t="s">
        <v>17</v>
      </c>
      <c r="C116" s="7" t="s">
        <v>18</v>
      </c>
      <c r="D116" s="7">
        <v>36</v>
      </c>
      <c r="E116" s="8" t="s">
        <v>228</v>
      </c>
      <c r="F116" s="9">
        <v>45047</v>
      </c>
      <c r="G116" s="9">
        <v>46142</v>
      </c>
      <c r="H116" s="8">
        <v>1</v>
      </c>
      <c r="I116" s="8"/>
      <c r="J116" s="14" t="s">
        <v>35</v>
      </c>
      <c r="K116" s="14" t="s">
        <v>20</v>
      </c>
      <c r="L116" s="14" t="s">
        <v>152</v>
      </c>
      <c r="M116" s="10"/>
      <c r="N116" s="8" t="s">
        <v>21</v>
      </c>
      <c r="O116" s="8" t="str">
        <f>_xlfn.XLOOKUP(Table1[[#This Row],[Serial Number]],[1]Apr!$O:$O,[1]Apr!$F:$F)</f>
        <v>The ParQ</v>
      </c>
      <c r="P116" s="8" t="s">
        <v>375</v>
      </c>
      <c r="Q116" s="8"/>
      <c r="R116" s="8"/>
      <c r="S116" s="8"/>
      <c r="T116" s="8"/>
      <c r="U116" s="8"/>
      <c r="V116" s="16"/>
    </row>
    <row r="117" spans="1:22" ht="12" hidden="1" x14ac:dyDescent="0.15">
      <c r="A117" s="6" t="s">
        <v>16</v>
      </c>
      <c r="B117" s="7" t="s">
        <v>17</v>
      </c>
      <c r="C117" s="7" t="s">
        <v>18</v>
      </c>
      <c r="D117" s="7">
        <v>36</v>
      </c>
      <c r="E117" s="8" t="s">
        <v>228</v>
      </c>
      <c r="F117" s="9">
        <v>45047</v>
      </c>
      <c r="G117" s="9">
        <v>46142</v>
      </c>
      <c r="H117" s="8">
        <v>1</v>
      </c>
      <c r="I117" s="8"/>
      <c r="J117" s="14" t="s">
        <v>35</v>
      </c>
      <c r="K117" s="14" t="s">
        <v>20</v>
      </c>
      <c r="L117" s="14" t="s">
        <v>153</v>
      </c>
      <c r="M117" s="10"/>
      <c r="N117" s="8" t="s">
        <v>21</v>
      </c>
      <c r="O117" s="8" t="str">
        <f>_xlfn.XLOOKUP(Table1[[#This Row],[Serial Number]],[1]Apr!$O:$O,[1]Apr!$F:$F)</f>
        <v>The ParQ</v>
      </c>
      <c r="P117" s="8" t="s">
        <v>375</v>
      </c>
      <c r="Q117" s="8"/>
      <c r="R117" s="8"/>
      <c r="S117" s="8"/>
      <c r="T117" s="8"/>
      <c r="U117" s="8"/>
      <c r="V117" s="16"/>
    </row>
    <row r="118" spans="1:22" ht="12" hidden="1" x14ac:dyDescent="0.15">
      <c r="A118" s="6" t="s">
        <v>16</v>
      </c>
      <c r="B118" s="7" t="s">
        <v>17</v>
      </c>
      <c r="C118" s="7" t="s">
        <v>18</v>
      </c>
      <c r="D118" s="7">
        <v>36</v>
      </c>
      <c r="E118" s="8" t="s">
        <v>228</v>
      </c>
      <c r="F118" s="9">
        <v>45047</v>
      </c>
      <c r="G118" s="9">
        <v>46142</v>
      </c>
      <c r="H118" s="8">
        <v>1</v>
      </c>
      <c r="I118" s="8"/>
      <c r="J118" s="14" t="s">
        <v>32</v>
      </c>
      <c r="K118" s="14" t="s">
        <v>20</v>
      </c>
      <c r="L118" s="14" t="s">
        <v>154</v>
      </c>
      <c r="M118" s="10"/>
      <c r="N118" s="8" t="s">
        <v>21</v>
      </c>
      <c r="O118" s="8" t="str">
        <f>_xlfn.XLOOKUP(Table1[[#This Row],[Serial Number]],[1]Apr!$O:$O,[1]Apr!$F:$F)</f>
        <v>The ParQ</v>
      </c>
      <c r="P118" s="8" t="s">
        <v>375</v>
      </c>
      <c r="Q118" s="8"/>
      <c r="R118" s="8"/>
      <c r="S118" s="8"/>
      <c r="T118" s="8"/>
      <c r="U118" s="8"/>
      <c r="V118" s="16"/>
    </row>
    <row r="119" spans="1:22" ht="12" hidden="1" x14ac:dyDescent="0.15">
      <c r="A119" s="6" t="s">
        <v>16</v>
      </c>
      <c r="B119" s="7" t="s">
        <v>17</v>
      </c>
      <c r="C119" s="7" t="s">
        <v>18</v>
      </c>
      <c r="D119" s="7">
        <v>36</v>
      </c>
      <c r="E119" s="8" t="s">
        <v>228</v>
      </c>
      <c r="F119" s="9">
        <v>45047</v>
      </c>
      <c r="G119" s="9">
        <v>46142</v>
      </c>
      <c r="H119" s="8">
        <v>1</v>
      </c>
      <c r="I119" s="8"/>
      <c r="J119" s="14" t="s">
        <v>35</v>
      </c>
      <c r="K119" s="14" t="s">
        <v>20</v>
      </c>
      <c r="L119" s="14" t="s">
        <v>155</v>
      </c>
      <c r="M119" s="10"/>
      <c r="N119" s="8" t="s">
        <v>21</v>
      </c>
      <c r="O119" s="8" t="str">
        <f>_xlfn.XLOOKUP(Table1[[#This Row],[Serial Number]],[1]Apr!$O:$O,[1]Apr!$F:$F)</f>
        <v>The ParQ</v>
      </c>
      <c r="P119" s="8" t="s">
        <v>375</v>
      </c>
      <c r="Q119" s="8"/>
      <c r="R119" s="8"/>
      <c r="S119" s="8"/>
      <c r="T119" s="8"/>
      <c r="U119" s="8"/>
      <c r="V119" s="16"/>
    </row>
    <row r="120" spans="1:22" ht="12" hidden="1" x14ac:dyDescent="0.15">
      <c r="A120" s="6" t="s">
        <v>16</v>
      </c>
      <c r="B120" s="7" t="s">
        <v>17</v>
      </c>
      <c r="C120" s="7" t="s">
        <v>18</v>
      </c>
      <c r="D120" s="7">
        <v>36</v>
      </c>
      <c r="E120" s="8" t="s">
        <v>228</v>
      </c>
      <c r="F120" s="9">
        <v>45047</v>
      </c>
      <c r="G120" s="9">
        <v>46142</v>
      </c>
      <c r="H120" s="8">
        <v>1</v>
      </c>
      <c r="I120" s="8"/>
      <c r="J120" s="14" t="s">
        <v>35</v>
      </c>
      <c r="K120" s="14" t="s">
        <v>20</v>
      </c>
      <c r="L120" s="14" t="s">
        <v>156</v>
      </c>
      <c r="M120" s="10"/>
      <c r="N120" s="8" t="s">
        <v>21</v>
      </c>
      <c r="O120" s="8" t="str">
        <f>_xlfn.XLOOKUP(Table1[[#This Row],[Serial Number]],[1]Apr!$O:$O,[1]Apr!$F:$F)</f>
        <v>The ParQ</v>
      </c>
      <c r="P120" s="8" t="s">
        <v>375</v>
      </c>
      <c r="Q120" s="8"/>
      <c r="R120" s="8"/>
      <c r="S120" s="8"/>
      <c r="T120" s="8"/>
      <c r="U120" s="8"/>
      <c r="V120" s="16"/>
    </row>
    <row r="121" spans="1:22" ht="12" hidden="1" x14ac:dyDescent="0.15">
      <c r="A121" s="6" t="s">
        <v>16</v>
      </c>
      <c r="B121" s="7" t="s">
        <v>17</v>
      </c>
      <c r="C121" s="7" t="s">
        <v>18</v>
      </c>
      <c r="D121" s="7">
        <v>36</v>
      </c>
      <c r="E121" s="8" t="s">
        <v>228</v>
      </c>
      <c r="F121" s="9">
        <v>45047</v>
      </c>
      <c r="G121" s="9">
        <v>46142</v>
      </c>
      <c r="H121" s="8">
        <v>1</v>
      </c>
      <c r="I121" s="8"/>
      <c r="J121" s="14" t="s">
        <v>35</v>
      </c>
      <c r="K121" s="14" t="s">
        <v>20</v>
      </c>
      <c r="L121" s="14" t="s">
        <v>157</v>
      </c>
      <c r="M121" s="10"/>
      <c r="N121" s="8" t="s">
        <v>21</v>
      </c>
      <c r="O121" s="8" t="str">
        <f>_xlfn.XLOOKUP(Table1[[#This Row],[Serial Number]],[1]Apr!$O:$O,[1]Apr!$F:$F)</f>
        <v>The ParQ</v>
      </c>
      <c r="P121" s="8" t="s">
        <v>375</v>
      </c>
      <c r="Q121" s="8"/>
      <c r="R121" s="8"/>
      <c r="S121" s="8"/>
      <c r="T121" s="8"/>
      <c r="U121" s="8"/>
      <c r="V121" s="16"/>
    </row>
    <row r="122" spans="1:22" ht="12" hidden="1" x14ac:dyDescent="0.15">
      <c r="A122" s="6" t="s">
        <v>16</v>
      </c>
      <c r="B122" s="7" t="s">
        <v>17</v>
      </c>
      <c r="C122" s="7" t="s">
        <v>18</v>
      </c>
      <c r="D122" s="7">
        <v>36</v>
      </c>
      <c r="E122" s="8" t="s">
        <v>228</v>
      </c>
      <c r="F122" s="9">
        <v>45047</v>
      </c>
      <c r="G122" s="9">
        <v>46142</v>
      </c>
      <c r="H122" s="8">
        <v>1</v>
      </c>
      <c r="I122" s="8"/>
      <c r="J122" s="14" t="s">
        <v>35</v>
      </c>
      <c r="K122" s="14" t="s">
        <v>20</v>
      </c>
      <c r="L122" s="14" t="s">
        <v>158</v>
      </c>
      <c r="M122" s="10"/>
      <c r="N122" s="8" t="s">
        <v>21</v>
      </c>
      <c r="O122" s="8" t="str">
        <f>_xlfn.XLOOKUP(Table1[[#This Row],[Serial Number]],[1]Apr!$O:$O,[1]Apr!$F:$F)</f>
        <v>The ParQ</v>
      </c>
      <c r="P122" s="8" t="s">
        <v>375</v>
      </c>
      <c r="Q122" s="8"/>
      <c r="R122" s="8"/>
      <c r="S122" s="8"/>
      <c r="T122" s="8"/>
      <c r="U122" s="8"/>
      <c r="V122" s="16"/>
    </row>
    <row r="123" spans="1:22" ht="12" hidden="1" x14ac:dyDescent="0.15">
      <c r="A123" s="6" t="s">
        <v>16</v>
      </c>
      <c r="B123" s="7" t="s">
        <v>17</v>
      </c>
      <c r="C123" s="7" t="s">
        <v>18</v>
      </c>
      <c r="D123" s="7">
        <v>36</v>
      </c>
      <c r="E123" s="8" t="s">
        <v>228</v>
      </c>
      <c r="F123" s="9">
        <v>45047</v>
      </c>
      <c r="G123" s="9">
        <v>46142</v>
      </c>
      <c r="H123" s="8">
        <v>1</v>
      </c>
      <c r="I123" s="8"/>
      <c r="J123" s="14" t="s">
        <v>35</v>
      </c>
      <c r="K123" s="14" t="s">
        <v>20</v>
      </c>
      <c r="L123" s="14" t="s">
        <v>159</v>
      </c>
      <c r="M123" s="10"/>
      <c r="N123" s="8" t="s">
        <v>21</v>
      </c>
      <c r="O123" s="8" t="str">
        <f>_xlfn.XLOOKUP(Table1[[#This Row],[Serial Number]],[1]Apr!$O:$O,[1]Apr!$F:$F)</f>
        <v>The ParQ</v>
      </c>
      <c r="P123" s="8" t="s">
        <v>375</v>
      </c>
      <c r="Q123" s="8"/>
      <c r="R123" s="8"/>
      <c r="S123" s="8"/>
      <c r="T123" s="8"/>
      <c r="U123" s="8"/>
      <c r="V123" s="16"/>
    </row>
    <row r="124" spans="1:22" ht="12" hidden="1" x14ac:dyDescent="0.15">
      <c r="A124" s="6" t="s">
        <v>16</v>
      </c>
      <c r="B124" s="7" t="s">
        <v>17</v>
      </c>
      <c r="C124" s="7" t="s">
        <v>18</v>
      </c>
      <c r="D124" s="7">
        <v>36</v>
      </c>
      <c r="E124" s="8" t="s">
        <v>228</v>
      </c>
      <c r="F124" s="9">
        <v>45047</v>
      </c>
      <c r="G124" s="9">
        <v>46142</v>
      </c>
      <c r="H124" s="8">
        <v>1</v>
      </c>
      <c r="I124" s="8"/>
      <c r="J124" s="14" t="s">
        <v>35</v>
      </c>
      <c r="K124" s="14" t="s">
        <v>20</v>
      </c>
      <c r="L124" s="14" t="s">
        <v>160</v>
      </c>
      <c r="M124" s="10"/>
      <c r="N124" s="8" t="s">
        <v>21</v>
      </c>
      <c r="O124" s="8" t="str">
        <f>_xlfn.XLOOKUP(Table1[[#This Row],[Serial Number]],[1]Apr!$O:$O,[1]Apr!$F:$F)</f>
        <v>The ParQ</v>
      </c>
      <c r="P124" s="8" t="s">
        <v>375</v>
      </c>
      <c r="Q124" s="8"/>
      <c r="R124" s="8"/>
      <c r="S124" s="8"/>
      <c r="T124" s="8"/>
      <c r="U124" s="8"/>
      <c r="V124" s="16"/>
    </row>
    <row r="125" spans="1:22" ht="12" hidden="1" x14ac:dyDescent="0.15">
      <c r="A125" s="6" t="s">
        <v>16</v>
      </c>
      <c r="B125" s="7" t="s">
        <v>17</v>
      </c>
      <c r="C125" s="7" t="s">
        <v>18</v>
      </c>
      <c r="D125" s="7">
        <v>36</v>
      </c>
      <c r="E125" s="8" t="s">
        <v>228</v>
      </c>
      <c r="F125" s="9">
        <v>45047</v>
      </c>
      <c r="G125" s="9">
        <v>46142</v>
      </c>
      <c r="H125" s="8">
        <v>1</v>
      </c>
      <c r="I125" s="8"/>
      <c r="J125" s="14" t="s">
        <v>32</v>
      </c>
      <c r="K125" s="14" t="s">
        <v>20</v>
      </c>
      <c r="L125" s="14" t="s">
        <v>161</v>
      </c>
      <c r="M125" s="10"/>
      <c r="N125" s="8" t="s">
        <v>21</v>
      </c>
      <c r="O125" s="8" t="str">
        <f>_xlfn.XLOOKUP(Table1[[#This Row],[Serial Number]],[1]Apr!$O:$O,[1]Apr!$F:$F)</f>
        <v>The ParQ</v>
      </c>
      <c r="P125" s="8" t="s">
        <v>375</v>
      </c>
      <c r="Q125" s="8"/>
      <c r="R125" s="8"/>
      <c r="S125" s="8"/>
      <c r="T125" s="8"/>
      <c r="U125" s="8"/>
      <c r="V125" s="16"/>
    </row>
    <row r="126" spans="1:22" ht="12" hidden="1" x14ac:dyDescent="0.15">
      <c r="A126" s="6" t="s">
        <v>16</v>
      </c>
      <c r="B126" s="7" t="s">
        <v>17</v>
      </c>
      <c r="C126" s="7" t="s">
        <v>18</v>
      </c>
      <c r="D126" s="7">
        <v>36</v>
      </c>
      <c r="E126" s="8" t="s">
        <v>228</v>
      </c>
      <c r="F126" s="9">
        <v>45047</v>
      </c>
      <c r="G126" s="9">
        <v>46142</v>
      </c>
      <c r="H126" s="8">
        <v>1</v>
      </c>
      <c r="I126" s="8"/>
      <c r="J126" s="14" t="s">
        <v>32</v>
      </c>
      <c r="K126" s="14" t="s">
        <v>20</v>
      </c>
      <c r="L126" s="14" t="s">
        <v>162</v>
      </c>
      <c r="M126" s="10"/>
      <c r="N126" s="8" t="s">
        <v>21</v>
      </c>
      <c r="O126" s="8" t="str">
        <f>_xlfn.XLOOKUP(Table1[[#This Row],[Serial Number]],[1]Apr!$O:$O,[1]Apr!$F:$F)</f>
        <v>The ParQ</v>
      </c>
      <c r="P126" s="8" t="s">
        <v>375</v>
      </c>
      <c r="Q126" s="8"/>
      <c r="R126" s="8"/>
      <c r="S126" s="8"/>
      <c r="T126" s="8"/>
      <c r="U126" s="8"/>
      <c r="V126" s="16"/>
    </row>
    <row r="127" spans="1:22" ht="12" hidden="1" x14ac:dyDescent="0.15">
      <c r="A127" s="6" t="s">
        <v>16</v>
      </c>
      <c r="B127" s="7" t="s">
        <v>17</v>
      </c>
      <c r="C127" s="7" t="s">
        <v>18</v>
      </c>
      <c r="D127" s="7">
        <v>36</v>
      </c>
      <c r="E127" s="8" t="s">
        <v>228</v>
      </c>
      <c r="F127" s="9">
        <v>45047</v>
      </c>
      <c r="G127" s="9">
        <v>46142</v>
      </c>
      <c r="H127" s="8">
        <v>1</v>
      </c>
      <c r="I127" s="8"/>
      <c r="J127" s="14" t="s">
        <v>35</v>
      </c>
      <c r="K127" s="14" t="s">
        <v>20</v>
      </c>
      <c r="L127" s="14" t="s">
        <v>163</v>
      </c>
      <c r="M127" s="10"/>
      <c r="N127" s="8" t="s">
        <v>21</v>
      </c>
      <c r="O127" s="8" t="str">
        <f>_xlfn.XLOOKUP(Table1[[#This Row],[Serial Number]],[1]Apr!$O:$O,[1]Apr!$F:$F)</f>
        <v>The ParQ</v>
      </c>
      <c r="P127" s="8" t="s">
        <v>375</v>
      </c>
      <c r="Q127" s="8"/>
      <c r="R127" s="8"/>
      <c r="S127" s="8"/>
      <c r="T127" s="8"/>
      <c r="U127" s="8"/>
      <c r="V127" s="16"/>
    </row>
    <row r="128" spans="1:22" ht="12" hidden="1" x14ac:dyDescent="0.15">
      <c r="A128" s="6" t="s">
        <v>16</v>
      </c>
      <c r="B128" s="7" t="s">
        <v>17</v>
      </c>
      <c r="C128" s="7" t="s">
        <v>18</v>
      </c>
      <c r="D128" s="7">
        <v>36</v>
      </c>
      <c r="E128" s="8" t="s">
        <v>228</v>
      </c>
      <c r="F128" s="9">
        <v>45047</v>
      </c>
      <c r="G128" s="9">
        <v>46142</v>
      </c>
      <c r="H128" s="8">
        <v>1</v>
      </c>
      <c r="I128" s="8"/>
      <c r="J128" s="14" t="s">
        <v>35</v>
      </c>
      <c r="K128" s="14" t="s">
        <v>20</v>
      </c>
      <c r="L128" s="14" t="s">
        <v>164</v>
      </c>
      <c r="M128" s="10"/>
      <c r="N128" s="8" t="s">
        <v>21</v>
      </c>
      <c r="O128" s="8" t="str">
        <f>_xlfn.XLOOKUP(Table1[[#This Row],[Serial Number]],[1]Apr!$O:$O,[1]Apr!$F:$F)</f>
        <v>The ParQ</v>
      </c>
      <c r="P128" s="8" t="s">
        <v>375</v>
      </c>
      <c r="Q128" s="8"/>
      <c r="R128" s="8"/>
      <c r="S128" s="8"/>
      <c r="T128" s="8"/>
      <c r="U128" s="8"/>
      <c r="V128" s="16"/>
    </row>
    <row r="129" spans="1:22" ht="12" hidden="1" x14ac:dyDescent="0.15">
      <c r="A129" s="6" t="s">
        <v>16</v>
      </c>
      <c r="B129" s="7" t="s">
        <v>17</v>
      </c>
      <c r="C129" s="7" t="s">
        <v>18</v>
      </c>
      <c r="D129" s="7">
        <v>36</v>
      </c>
      <c r="E129" s="8" t="s">
        <v>228</v>
      </c>
      <c r="F129" s="9">
        <v>45047</v>
      </c>
      <c r="G129" s="9">
        <v>46142</v>
      </c>
      <c r="H129" s="8">
        <v>1</v>
      </c>
      <c r="I129" s="8"/>
      <c r="J129" s="14" t="s">
        <v>35</v>
      </c>
      <c r="K129" s="14" t="s">
        <v>20</v>
      </c>
      <c r="L129" s="14" t="s">
        <v>165</v>
      </c>
      <c r="M129" s="10"/>
      <c r="N129" s="8" t="s">
        <v>21</v>
      </c>
      <c r="O129" s="8" t="str">
        <f>_xlfn.XLOOKUP(Table1[[#This Row],[Serial Number]],[1]Apr!$O:$O,[1]Apr!$F:$F)</f>
        <v>The ParQ</v>
      </c>
      <c r="P129" s="8" t="s">
        <v>375</v>
      </c>
      <c r="Q129" s="8"/>
      <c r="R129" s="8"/>
      <c r="S129" s="8"/>
      <c r="T129" s="8"/>
      <c r="U129" s="8"/>
      <c r="V129" s="16"/>
    </row>
    <row r="130" spans="1:22" ht="12" hidden="1" x14ac:dyDescent="0.15">
      <c r="A130" s="6" t="s">
        <v>16</v>
      </c>
      <c r="B130" s="7" t="s">
        <v>17</v>
      </c>
      <c r="C130" s="7" t="s">
        <v>18</v>
      </c>
      <c r="D130" s="7">
        <v>36</v>
      </c>
      <c r="E130" s="8" t="s">
        <v>228</v>
      </c>
      <c r="F130" s="9">
        <v>45047</v>
      </c>
      <c r="G130" s="9">
        <v>46142</v>
      </c>
      <c r="H130" s="8">
        <v>1</v>
      </c>
      <c r="I130" s="8"/>
      <c r="J130" s="14" t="s">
        <v>35</v>
      </c>
      <c r="K130" s="14" t="s">
        <v>20</v>
      </c>
      <c r="L130" s="14" t="s">
        <v>166</v>
      </c>
      <c r="M130" s="10"/>
      <c r="N130" s="8" t="s">
        <v>21</v>
      </c>
      <c r="O130" s="8" t="str">
        <f>_xlfn.XLOOKUP(Table1[[#This Row],[Serial Number]],[1]Apr!$O:$O,[1]Apr!$F:$F)</f>
        <v>The ParQ</v>
      </c>
      <c r="P130" s="8" t="s">
        <v>375</v>
      </c>
      <c r="Q130" s="8"/>
      <c r="R130" s="8"/>
      <c r="S130" s="8"/>
      <c r="T130" s="8"/>
      <c r="U130" s="8"/>
      <c r="V130" s="16"/>
    </row>
    <row r="131" spans="1:22" ht="12" hidden="1" x14ac:dyDescent="0.15">
      <c r="A131" s="6" t="s">
        <v>16</v>
      </c>
      <c r="B131" s="7" t="s">
        <v>17</v>
      </c>
      <c r="C131" s="7" t="s">
        <v>18</v>
      </c>
      <c r="D131" s="7">
        <v>36</v>
      </c>
      <c r="E131" s="8" t="s">
        <v>228</v>
      </c>
      <c r="F131" s="9">
        <v>45047</v>
      </c>
      <c r="G131" s="9">
        <v>46142</v>
      </c>
      <c r="H131" s="8">
        <v>1</v>
      </c>
      <c r="I131" s="8"/>
      <c r="J131" s="14" t="s">
        <v>35</v>
      </c>
      <c r="K131" s="14" t="s">
        <v>20</v>
      </c>
      <c r="L131" s="14" t="s">
        <v>167</v>
      </c>
      <c r="M131" s="10"/>
      <c r="N131" s="8" t="s">
        <v>21</v>
      </c>
      <c r="O131" s="8" t="str">
        <f>_xlfn.XLOOKUP(Table1[[#This Row],[Serial Number]],[1]Apr!$O:$O,[1]Apr!$F:$F)</f>
        <v>The ParQ</v>
      </c>
      <c r="P131" s="8" t="s">
        <v>375</v>
      </c>
      <c r="Q131" s="8"/>
      <c r="R131" s="8"/>
      <c r="S131" s="8"/>
      <c r="T131" s="8"/>
      <c r="U131" s="8"/>
      <c r="V131" s="16"/>
    </row>
    <row r="132" spans="1:22" ht="12" hidden="1" x14ac:dyDescent="0.15">
      <c r="A132" s="6" t="s">
        <v>16</v>
      </c>
      <c r="B132" s="7" t="s">
        <v>17</v>
      </c>
      <c r="C132" s="7" t="s">
        <v>18</v>
      </c>
      <c r="D132" s="7">
        <v>36</v>
      </c>
      <c r="E132" s="8" t="s">
        <v>228</v>
      </c>
      <c r="F132" s="9">
        <v>45047</v>
      </c>
      <c r="G132" s="9">
        <v>46142</v>
      </c>
      <c r="H132" s="8">
        <v>1</v>
      </c>
      <c r="I132" s="8"/>
      <c r="J132" s="14" t="s">
        <v>35</v>
      </c>
      <c r="K132" s="14" t="s">
        <v>20</v>
      </c>
      <c r="L132" s="14" t="s">
        <v>168</v>
      </c>
      <c r="M132" s="10"/>
      <c r="N132" s="8" t="s">
        <v>21</v>
      </c>
      <c r="O132" s="8" t="str">
        <f>_xlfn.XLOOKUP(Table1[[#This Row],[Serial Number]],[1]Apr!$O:$O,[1]Apr!$F:$F)</f>
        <v>The ParQ</v>
      </c>
      <c r="P132" s="8" t="s">
        <v>375</v>
      </c>
      <c r="Q132" s="8"/>
      <c r="R132" s="8"/>
      <c r="S132" s="8"/>
      <c r="T132" s="8"/>
      <c r="U132" s="8"/>
      <c r="V132" s="16"/>
    </row>
    <row r="133" spans="1:22" ht="12" hidden="1" x14ac:dyDescent="0.15">
      <c r="A133" s="6" t="s">
        <v>16</v>
      </c>
      <c r="B133" s="7" t="s">
        <v>17</v>
      </c>
      <c r="C133" s="7" t="s">
        <v>18</v>
      </c>
      <c r="D133" s="7">
        <v>36</v>
      </c>
      <c r="E133" s="8" t="s">
        <v>228</v>
      </c>
      <c r="F133" s="9">
        <v>45047</v>
      </c>
      <c r="G133" s="9">
        <v>46142</v>
      </c>
      <c r="H133" s="8">
        <v>1</v>
      </c>
      <c r="I133" s="8"/>
      <c r="J133" s="14" t="s">
        <v>35</v>
      </c>
      <c r="K133" s="14" t="s">
        <v>20</v>
      </c>
      <c r="L133" s="14" t="s">
        <v>169</v>
      </c>
      <c r="M133" s="10"/>
      <c r="N133" s="8" t="s">
        <v>21</v>
      </c>
      <c r="O133" s="8" t="str">
        <f>_xlfn.XLOOKUP(Table1[[#This Row],[Serial Number]],[1]Apr!$O:$O,[1]Apr!$F:$F)</f>
        <v>The ParQ</v>
      </c>
      <c r="P133" s="8" t="s">
        <v>375</v>
      </c>
      <c r="Q133" s="8"/>
      <c r="R133" s="8"/>
      <c r="S133" s="8"/>
      <c r="T133" s="8"/>
      <c r="U133" s="8"/>
      <c r="V133" s="16"/>
    </row>
    <row r="134" spans="1:22" ht="12" hidden="1" x14ac:dyDescent="0.15">
      <c r="A134" s="6" t="s">
        <v>16</v>
      </c>
      <c r="B134" s="7" t="s">
        <v>17</v>
      </c>
      <c r="C134" s="7" t="s">
        <v>18</v>
      </c>
      <c r="D134" s="7">
        <v>36</v>
      </c>
      <c r="E134" s="8" t="s">
        <v>228</v>
      </c>
      <c r="F134" s="9">
        <v>45047</v>
      </c>
      <c r="G134" s="9">
        <v>46142</v>
      </c>
      <c r="H134" s="8">
        <v>1</v>
      </c>
      <c r="I134" s="8"/>
      <c r="J134" s="14" t="s">
        <v>35</v>
      </c>
      <c r="K134" s="14" t="s">
        <v>20</v>
      </c>
      <c r="L134" s="14" t="s">
        <v>170</v>
      </c>
      <c r="M134" s="10"/>
      <c r="N134" s="8" t="s">
        <v>21</v>
      </c>
      <c r="O134" s="8" t="str">
        <f>_xlfn.XLOOKUP(Table1[[#This Row],[Serial Number]],[1]Apr!$O:$O,[1]Apr!$F:$F)</f>
        <v>The ParQ</v>
      </c>
      <c r="P134" s="8" t="s">
        <v>375</v>
      </c>
      <c r="Q134" s="8"/>
      <c r="R134" s="8"/>
      <c r="S134" s="8"/>
      <c r="T134" s="8"/>
      <c r="U134" s="8"/>
      <c r="V134" s="16"/>
    </row>
    <row r="135" spans="1:22" ht="12" hidden="1" x14ac:dyDescent="0.15">
      <c r="A135" s="6" t="s">
        <v>16</v>
      </c>
      <c r="B135" s="7" t="s">
        <v>17</v>
      </c>
      <c r="C135" s="7" t="s">
        <v>18</v>
      </c>
      <c r="D135" s="7">
        <v>36</v>
      </c>
      <c r="E135" s="8" t="s">
        <v>228</v>
      </c>
      <c r="F135" s="9">
        <v>45047</v>
      </c>
      <c r="G135" s="9">
        <v>46142</v>
      </c>
      <c r="H135" s="8">
        <v>1</v>
      </c>
      <c r="I135" s="8"/>
      <c r="J135" s="14" t="s">
        <v>35</v>
      </c>
      <c r="K135" s="14" t="s">
        <v>20</v>
      </c>
      <c r="L135" s="14" t="s">
        <v>171</v>
      </c>
      <c r="M135" s="10"/>
      <c r="N135" s="8" t="s">
        <v>21</v>
      </c>
      <c r="O135" s="8" t="str">
        <f>_xlfn.XLOOKUP(Table1[[#This Row],[Serial Number]],[1]Apr!$O:$O,[1]Apr!$F:$F)</f>
        <v>The ParQ</v>
      </c>
      <c r="P135" s="8" t="s">
        <v>375</v>
      </c>
      <c r="Q135" s="8"/>
      <c r="R135" s="8"/>
      <c r="S135" s="8"/>
      <c r="T135" s="8"/>
      <c r="U135" s="8"/>
      <c r="V135" s="16"/>
    </row>
    <row r="136" spans="1:22" ht="12" hidden="1" x14ac:dyDescent="0.15">
      <c r="A136" s="6" t="s">
        <v>16</v>
      </c>
      <c r="B136" s="7" t="s">
        <v>17</v>
      </c>
      <c r="C136" s="7" t="s">
        <v>18</v>
      </c>
      <c r="D136" s="7">
        <v>36</v>
      </c>
      <c r="E136" s="8" t="s">
        <v>228</v>
      </c>
      <c r="F136" s="9">
        <v>45047</v>
      </c>
      <c r="G136" s="9">
        <v>46142</v>
      </c>
      <c r="H136" s="8">
        <v>1</v>
      </c>
      <c r="I136" s="8"/>
      <c r="J136" s="14" t="s">
        <v>35</v>
      </c>
      <c r="K136" s="14" t="s">
        <v>20</v>
      </c>
      <c r="L136" s="14" t="s">
        <v>172</v>
      </c>
      <c r="M136" s="10"/>
      <c r="N136" s="8" t="s">
        <v>21</v>
      </c>
      <c r="O136" s="8" t="str">
        <f>_xlfn.XLOOKUP(Table1[[#This Row],[Serial Number]],[1]Apr!$O:$O,[1]Apr!$F:$F)</f>
        <v>The ParQ</v>
      </c>
      <c r="P136" s="8" t="s">
        <v>375</v>
      </c>
      <c r="Q136" s="8"/>
      <c r="R136" s="8"/>
      <c r="S136" s="8"/>
      <c r="T136" s="8"/>
      <c r="U136" s="8"/>
      <c r="V136" s="16"/>
    </row>
    <row r="137" spans="1:22" ht="12" hidden="1" x14ac:dyDescent="0.15">
      <c r="A137" s="6" t="s">
        <v>16</v>
      </c>
      <c r="B137" s="7" t="s">
        <v>17</v>
      </c>
      <c r="C137" s="7" t="s">
        <v>18</v>
      </c>
      <c r="D137" s="7">
        <v>36</v>
      </c>
      <c r="E137" s="8" t="s">
        <v>228</v>
      </c>
      <c r="F137" s="9">
        <v>45047</v>
      </c>
      <c r="G137" s="9">
        <v>46142</v>
      </c>
      <c r="H137" s="8">
        <v>1</v>
      </c>
      <c r="I137" s="8"/>
      <c r="J137" s="14" t="s">
        <v>39</v>
      </c>
      <c r="K137" s="14" t="s">
        <v>20</v>
      </c>
      <c r="L137" s="14" t="s">
        <v>173</v>
      </c>
      <c r="M137" s="10"/>
      <c r="N137" s="8" t="s">
        <v>21</v>
      </c>
      <c r="O137" s="8" t="str">
        <f>_xlfn.XLOOKUP(Table1[[#This Row],[Serial Number]],[1]Apr!$O:$O,[1]Apr!$F:$F)</f>
        <v>The ParQ</v>
      </c>
      <c r="P137" s="8" t="s">
        <v>375</v>
      </c>
      <c r="Q137" s="8"/>
      <c r="R137" s="8"/>
      <c r="S137" s="8"/>
      <c r="T137" s="8"/>
      <c r="U137" s="8"/>
      <c r="V137" s="16"/>
    </row>
    <row r="138" spans="1:22" ht="12" hidden="1" x14ac:dyDescent="0.15">
      <c r="A138" s="6" t="s">
        <v>16</v>
      </c>
      <c r="B138" s="7" t="s">
        <v>17</v>
      </c>
      <c r="C138" s="7" t="s">
        <v>18</v>
      </c>
      <c r="D138" s="7">
        <v>36</v>
      </c>
      <c r="E138" s="8" t="s">
        <v>228</v>
      </c>
      <c r="F138" s="9">
        <v>45047</v>
      </c>
      <c r="G138" s="9">
        <v>46142</v>
      </c>
      <c r="H138" s="8">
        <v>1</v>
      </c>
      <c r="I138" s="8"/>
      <c r="J138" s="14" t="s">
        <v>35</v>
      </c>
      <c r="K138" s="14" t="s">
        <v>20</v>
      </c>
      <c r="L138" s="14" t="s">
        <v>174</v>
      </c>
      <c r="M138" s="10"/>
      <c r="N138" s="8" t="s">
        <v>21</v>
      </c>
      <c r="O138" s="8" t="str">
        <f>_xlfn.XLOOKUP(Table1[[#This Row],[Serial Number]],[1]Apr!$O:$O,[1]Apr!$F:$F)</f>
        <v>The ParQ</v>
      </c>
      <c r="P138" s="8" t="s">
        <v>375</v>
      </c>
      <c r="Q138" s="8"/>
      <c r="R138" s="8"/>
      <c r="S138" s="8"/>
      <c r="T138" s="8"/>
      <c r="U138" s="8"/>
      <c r="V138" s="16"/>
    </row>
    <row r="139" spans="1:22" ht="12" hidden="1" x14ac:dyDescent="0.15">
      <c r="A139" s="6" t="s">
        <v>16</v>
      </c>
      <c r="B139" s="7" t="s">
        <v>17</v>
      </c>
      <c r="C139" s="7" t="s">
        <v>18</v>
      </c>
      <c r="D139" s="7">
        <v>36</v>
      </c>
      <c r="E139" s="8" t="s">
        <v>228</v>
      </c>
      <c r="F139" s="9">
        <v>45047</v>
      </c>
      <c r="G139" s="9">
        <v>46142</v>
      </c>
      <c r="H139" s="8">
        <v>1</v>
      </c>
      <c r="I139" s="8"/>
      <c r="J139" s="14" t="s">
        <v>32</v>
      </c>
      <c r="K139" s="14" t="s">
        <v>20</v>
      </c>
      <c r="L139" s="14" t="s">
        <v>175</v>
      </c>
      <c r="M139" s="10"/>
      <c r="N139" s="8" t="s">
        <v>21</v>
      </c>
      <c r="O139" s="8" t="str">
        <f>_xlfn.XLOOKUP(Table1[[#This Row],[Serial Number]],[1]Apr!$O:$O,[1]Apr!$F:$F)</f>
        <v>The ParQ</v>
      </c>
      <c r="P139" s="8" t="s">
        <v>375</v>
      </c>
      <c r="Q139" s="8"/>
      <c r="R139" s="8"/>
      <c r="S139" s="8"/>
      <c r="T139" s="8"/>
      <c r="U139" s="8"/>
      <c r="V139" s="16"/>
    </row>
    <row r="140" spans="1:22" ht="12" hidden="1" x14ac:dyDescent="0.15">
      <c r="A140" s="6" t="s">
        <v>16</v>
      </c>
      <c r="B140" s="7" t="s">
        <v>17</v>
      </c>
      <c r="C140" s="7" t="s">
        <v>18</v>
      </c>
      <c r="D140" s="7">
        <v>36</v>
      </c>
      <c r="E140" s="8" t="s">
        <v>228</v>
      </c>
      <c r="F140" s="9">
        <v>45047</v>
      </c>
      <c r="G140" s="9">
        <v>46142</v>
      </c>
      <c r="H140" s="8">
        <v>1</v>
      </c>
      <c r="I140" s="8"/>
      <c r="J140" s="14" t="s">
        <v>35</v>
      </c>
      <c r="K140" s="14" t="s">
        <v>20</v>
      </c>
      <c r="L140" s="14" t="s">
        <v>176</v>
      </c>
      <c r="M140" s="10"/>
      <c r="N140" s="8" t="s">
        <v>21</v>
      </c>
      <c r="O140" s="8" t="str">
        <f>_xlfn.XLOOKUP(Table1[[#This Row],[Serial Number]],[1]Apr!$O:$O,[1]Apr!$F:$F)</f>
        <v>The ParQ</v>
      </c>
      <c r="P140" s="8" t="s">
        <v>375</v>
      </c>
      <c r="Q140" s="8"/>
      <c r="R140" s="8"/>
      <c r="S140" s="8"/>
      <c r="T140" s="8"/>
      <c r="U140" s="8"/>
      <c r="V140" s="16"/>
    </row>
    <row r="141" spans="1:22" ht="12" hidden="1" x14ac:dyDescent="0.15">
      <c r="A141" s="6" t="s">
        <v>16</v>
      </c>
      <c r="B141" s="7" t="s">
        <v>17</v>
      </c>
      <c r="C141" s="7" t="s">
        <v>18</v>
      </c>
      <c r="D141" s="7">
        <v>36</v>
      </c>
      <c r="E141" s="8" t="s">
        <v>228</v>
      </c>
      <c r="F141" s="9">
        <v>45047</v>
      </c>
      <c r="G141" s="9">
        <v>46142</v>
      </c>
      <c r="H141" s="8">
        <v>1</v>
      </c>
      <c r="I141" s="8"/>
      <c r="J141" s="14" t="s">
        <v>35</v>
      </c>
      <c r="K141" s="14" t="s">
        <v>20</v>
      </c>
      <c r="L141" s="14" t="s">
        <v>177</v>
      </c>
      <c r="M141" s="10"/>
      <c r="N141" s="8" t="s">
        <v>21</v>
      </c>
      <c r="O141" s="8" t="str">
        <f>_xlfn.XLOOKUP(Table1[[#This Row],[Serial Number]],[1]Apr!$O:$O,[1]Apr!$F:$F)</f>
        <v>The ParQ</v>
      </c>
      <c r="P141" s="8" t="s">
        <v>375</v>
      </c>
      <c r="Q141" s="8"/>
      <c r="R141" s="8"/>
      <c r="S141" s="8"/>
      <c r="T141" s="8"/>
      <c r="U141" s="8"/>
      <c r="V141" s="16"/>
    </row>
    <row r="142" spans="1:22" ht="12" hidden="1" x14ac:dyDescent="0.15">
      <c r="A142" s="6" t="s">
        <v>16</v>
      </c>
      <c r="B142" s="7" t="s">
        <v>17</v>
      </c>
      <c r="C142" s="7" t="s">
        <v>18</v>
      </c>
      <c r="D142" s="7">
        <v>36</v>
      </c>
      <c r="E142" s="8" t="s">
        <v>228</v>
      </c>
      <c r="F142" s="9">
        <v>45047</v>
      </c>
      <c r="G142" s="9">
        <v>46142</v>
      </c>
      <c r="H142" s="8">
        <v>1</v>
      </c>
      <c r="I142" s="8"/>
      <c r="J142" s="14" t="s">
        <v>35</v>
      </c>
      <c r="K142" s="14" t="s">
        <v>20</v>
      </c>
      <c r="L142" s="14" t="s">
        <v>178</v>
      </c>
      <c r="M142" s="10"/>
      <c r="N142" s="8" t="s">
        <v>21</v>
      </c>
      <c r="O142" s="8" t="str">
        <f>_xlfn.XLOOKUP(Table1[[#This Row],[Serial Number]],[1]Apr!$O:$O,[1]Apr!$F:$F)</f>
        <v>The ParQ</v>
      </c>
      <c r="P142" s="8" t="s">
        <v>375</v>
      </c>
      <c r="Q142" s="8"/>
      <c r="R142" s="8"/>
      <c r="S142" s="8"/>
      <c r="T142" s="8"/>
      <c r="U142" s="8"/>
      <c r="V142" s="16"/>
    </row>
    <row r="143" spans="1:22" ht="12" hidden="1" x14ac:dyDescent="0.15">
      <c r="A143" s="6" t="s">
        <v>16</v>
      </c>
      <c r="B143" s="7" t="s">
        <v>17</v>
      </c>
      <c r="C143" s="7" t="s">
        <v>18</v>
      </c>
      <c r="D143" s="7">
        <v>36</v>
      </c>
      <c r="E143" s="8" t="s">
        <v>228</v>
      </c>
      <c r="F143" s="9">
        <v>45047</v>
      </c>
      <c r="G143" s="9">
        <v>46142</v>
      </c>
      <c r="H143" s="8">
        <v>1</v>
      </c>
      <c r="I143" s="8"/>
      <c r="J143" s="14" t="s">
        <v>35</v>
      </c>
      <c r="K143" s="14" t="s">
        <v>20</v>
      </c>
      <c r="L143" s="14" t="s">
        <v>179</v>
      </c>
      <c r="M143" s="10"/>
      <c r="N143" s="8" t="s">
        <v>21</v>
      </c>
      <c r="O143" s="8" t="str">
        <f>_xlfn.XLOOKUP(Table1[[#This Row],[Serial Number]],[1]Apr!$O:$O,[1]Apr!$F:$F)</f>
        <v>The ParQ</v>
      </c>
      <c r="P143" s="8" t="s">
        <v>375</v>
      </c>
      <c r="Q143" s="8"/>
      <c r="R143" s="8"/>
      <c r="S143" s="8"/>
      <c r="T143" s="8"/>
      <c r="U143" s="8"/>
      <c r="V143" s="16"/>
    </row>
    <row r="144" spans="1:22" ht="12" hidden="1" x14ac:dyDescent="0.15">
      <c r="A144" s="6" t="s">
        <v>16</v>
      </c>
      <c r="B144" s="7" t="s">
        <v>17</v>
      </c>
      <c r="C144" s="7" t="s">
        <v>18</v>
      </c>
      <c r="D144" s="7">
        <v>36</v>
      </c>
      <c r="E144" s="8" t="s">
        <v>228</v>
      </c>
      <c r="F144" s="9">
        <v>45047</v>
      </c>
      <c r="G144" s="9">
        <v>46142</v>
      </c>
      <c r="H144" s="8">
        <v>1</v>
      </c>
      <c r="I144" s="8"/>
      <c r="J144" s="14" t="s">
        <v>35</v>
      </c>
      <c r="K144" s="14" t="s">
        <v>20</v>
      </c>
      <c r="L144" s="14" t="s">
        <v>180</v>
      </c>
      <c r="M144" s="10"/>
      <c r="N144" s="8" t="s">
        <v>21</v>
      </c>
      <c r="O144" s="8" t="str">
        <f>_xlfn.XLOOKUP(Table1[[#This Row],[Serial Number]],[1]Apr!$O:$O,[1]Apr!$F:$F)</f>
        <v>The ParQ</v>
      </c>
      <c r="P144" s="8" t="s">
        <v>375</v>
      </c>
      <c r="Q144" s="8"/>
      <c r="R144" s="8"/>
      <c r="S144" s="8"/>
      <c r="T144" s="8"/>
      <c r="U144" s="8"/>
      <c r="V144" s="16"/>
    </row>
    <row r="145" spans="1:22" ht="12" hidden="1" x14ac:dyDescent="0.15">
      <c r="A145" s="6" t="s">
        <v>16</v>
      </c>
      <c r="B145" s="7" t="s">
        <v>17</v>
      </c>
      <c r="C145" s="7" t="s">
        <v>18</v>
      </c>
      <c r="D145" s="7">
        <v>36</v>
      </c>
      <c r="E145" s="8" t="s">
        <v>228</v>
      </c>
      <c r="F145" s="9">
        <v>45047</v>
      </c>
      <c r="G145" s="9">
        <v>46142</v>
      </c>
      <c r="H145" s="8">
        <v>1</v>
      </c>
      <c r="I145" s="8"/>
      <c r="J145" s="14" t="s">
        <v>39</v>
      </c>
      <c r="K145" s="14" t="s">
        <v>20</v>
      </c>
      <c r="L145" s="14" t="s">
        <v>181</v>
      </c>
      <c r="M145" s="10"/>
      <c r="N145" s="8" t="s">
        <v>21</v>
      </c>
      <c r="O145" s="8" t="str">
        <f>_xlfn.XLOOKUP(Table1[[#This Row],[Serial Number]],[1]Apr!$O:$O,[1]Apr!$F:$F)</f>
        <v>The ParQ</v>
      </c>
      <c r="P145" s="8" t="s">
        <v>375</v>
      </c>
      <c r="Q145" s="8"/>
      <c r="R145" s="8"/>
      <c r="S145" s="8"/>
      <c r="T145" s="8"/>
      <c r="U145" s="8"/>
      <c r="V145" s="16"/>
    </row>
    <row r="146" spans="1:22" ht="12" hidden="1" x14ac:dyDescent="0.15">
      <c r="A146" s="6" t="s">
        <v>16</v>
      </c>
      <c r="B146" s="7" t="s">
        <v>17</v>
      </c>
      <c r="C146" s="7" t="s">
        <v>18</v>
      </c>
      <c r="D146" s="7">
        <v>36</v>
      </c>
      <c r="E146" s="8" t="s">
        <v>228</v>
      </c>
      <c r="F146" s="9">
        <v>45047</v>
      </c>
      <c r="G146" s="9">
        <v>46142</v>
      </c>
      <c r="H146" s="8">
        <v>1</v>
      </c>
      <c r="I146" s="8"/>
      <c r="J146" s="14" t="s">
        <v>35</v>
      </c>
      <c r="K146" s="14" t="s">
        <v>20</v>
      </c>
      <c r="L146" s="14" t="s">
        <v>182</v>
      </c>
      <c r="M146" s="10"/>
      <c r="N146" s="8" t="s">
        <v>21</v>
      </c>
      <c r="O146" s="8" t="str">
        <f>_xlfn.XLOOKUP(Table1[[#This Row],[Serial Number]],[1]Apr!$O:$O,[1]Apr!$F:$F)</f>
        <v>The ParQ</v>
      </c>
      <c r="P146" s="8" t="s">
        <v>375</v>
      </c>
      <c r="Q146" s="8"/>
      <c r="R146" s="8"/>
      <c r="S146" s="8"/>
      <c r="T146" s="8"/>
      <c r="U146" s="8"/>
      <c r="V146" s="16"/>
    </row>
    <row r="147" spans="1:22" ht="12" hidden="1" x14ac:dyDescent="0.15">
      <c r="A147" s="6" t="s">
        <v>16</v>
      </c>
      <c r="B147" s="7" t="s">
        <v>17</v>
      </c>
      <c r="C147" s="7" t="s">
        <v>18</v>
      </c>
      <c r="D147" s="7">
        <v>36</v>
      </c>
      <c r="E147" s="8" t="s">
        <v>228</v>
      </c>
      <c r="F147" s="9">
        <v>45047</v>
      </c>
      <c r="G147" s="9">
        <v>46142</v>
      </c>
      <c r="H147" s="8">
        <v>1</v>
      </c>
      <c r="I147" s="8"/>
      <c r="J147" s="14" t="s">
        <v>39</v>
      </c>
      <c r="K147" s="14" t="s">
        <v>20</v>
      </c>
      <c r="L147" s="14" t="s">
        <v>183</v>
      </c>
      <c r="M147" s="10"/>
      <c r="N147" s="8" t="s">
        <v>21</v>
      </c>
      <c r="O147" s="8" t="str">
        <f>_xlfn.XLOOKUP(Table1[[#This Row],[Serial Number]],[1]Apr!$O:$O,[1]Apr!$F:$F)</f>
        <v>The ParQ</v>
      </c>
      <c r="P147" s="8" t="s">
        <v>375</v>
      </c>
      <c r="Q147" s="8"/>
      <c r="R147" s="8"/>
      <c r="S147" s="8"/>
      <c r="T147" s="8"/>
      <c r="U147" s="8"/>
      <c r="V147" s="16"/>
    </row>
    <row r="148" spans="1:22" ht="12" hidden="1" x14ac:dyDescent="0.15">
      <c r="A148" s="6" t="s">
        <v>16</v>
      </c>
      <c r="B148" s="7" t="s">
        <v>17</v>
      </c>
      <c r="C148" s="7" t="s">
        <v>18</v>
      </c>
      <c r="D148" s="7">
        <v>36</v>
      </c>
      <c r="E148" s="8" t="s">
        <v>228</v>
      </c>
      <c r="F148" s="9">
        <v>45047</v>
      </c>
      <c r="G148" s="9">
        <v>46142</v>
      </c>
      <c r="H148" s="8">
        <v>1</v>
      </c>
      <c r="I148" s="8"/>
      <c r="J148" s="14" t="s">
        <v>35</v>
      </c>
      <c r="K148" s="14" t="s">
        <v>20</v>
      </c>
      <c r="L148" s="14" t="s">
        <v>184</v>
      </c>
      <c r="M148" s="10"/>
      <c r="N148" s="8" t="s">
        <v>21</v>
      </c>
      <c r="O148" s="8" t="s">
        <v>22</v>
      </c>
      <c r="P148" s="8" t="s">
        <v>375</v>
      </c>
      <c r="Q148" s="8"/>
      <c r="R148" s="8"/>
      <c r="S148" s="8"/>
      <c r="T148" s="8"/>
      <c r="U148" s="8"/>
      <c r="V148" s="16"/>
    </row>
    <row r="149" spans="1:22" ht="12" hidden="1" x14ac:dyDescent="0.15">
      <c r="A149" s="6" t="s">
        <v>16</v>
      </c>
      <c r="B149" s="7" t="s">
        <v>17</v>
      </c>
      <c r="C149" s="7" t="s">
        <v>18</v>
      </c>
      <c r="D149" s="7">
        <v>36</v>
      </c>
      <c r="E149" s="8" t="s">
        <v>228</v>
      </c>
      <c r="F149" s="9">
        <v>45047</v>
      </c>
      <c r="G149" s="9">
        <v>46142</v>
      </c>
      <c r="H149" s="8">
        <v>1</v>
      </c>
      <c r="I149" s="8"/>
      <c r="J149" s="14" t="s">
        <v>35</v>
      </c>
      <c r="K149" s="14" t="s">
        <v>20</v>
      </c>
      <c r="L149" s="14" t="s">
        <v>185</v>
      </c>
      <c r="M149" s="10"/>
      <c r="N149" s="8" t="s">
        <v>21</v>
      </c>
      <c r="O149" s="8" t="s">
        <v>22</v>
      </c>
      <c r="P149" s="8" t="s">
        <v>375</v>
      </c>
      <c r="Q149" s="8"/>
      <c r="R149" s="8"/>
      <c r="S149" s="8"/>
      <c r="T149" s="8"/>
      <c r="U149" s="8"/>
      <c r="V149" s="16"/>
    </row>
    <row r="150" spans="1:22" ht="12" x14ac:dyDescent="0.15">
      <c r="A150" s="6" t="s">
        <v>16</v>
      </c>
      <c r="B150" s="7" t="s">
        <v>17</v>
      </c>
      <c r="C150" s="7" t="s">
        <v>18</v>
      </c>
      <c r="D150" s="7">
        <v>36</v>
      </c>
      <c r="E150" s="8" t="s">
        <v>228</v>
      </c>
      <c r="F150" s="9">
        <v>45047</v>
      </c>
      <c r="G150" s="9">
        <v>46142</v>
      </c>
      <c r="H150" s="8">
        <v>1</v>
      </c>
      <c r="I150" s="8"/>
      <c r="J150" s="14" t="s">
        <v>29</v>
      </c>
      <c r="K150" s="14" t="s">
        <v>20</v>
      </c>
      <c r="L150" s="14" t="s">
        <v>186</v>
      </c>
      <c r="M150" s="10"/>
      <c r="N150" s="8" t="s">
        <v>21</v>
      </c>
      <c r="O150" s="8" t="str">
        <f>_xlfn.XLOOKUP(Table1[[#This Row],[Serial Number]],[1]Apr!$O:$O,[1]Apr!$F:$F)</f>
        <v>AVANI Hua Hin Resort &amp; Villas</v>
      </c>
      <c r="P150" s="8" t="s">
        <v>377</v>
      </c>
      <c r="Q150" s="46" t="s">
        <v>387</v>
      </c>
      <c r="R150" s="8" t="str">
        <f>Table1[[#This Row],[Collection City (Required)]]</f>
        <v>AVANI Hua Hin Resort &amp; Villas</v>
      </c>
      <c r="S150" s="8"/>
      <c r="T150" s="48">
        <v>46150</v>
      </c>
      <c r="U150" s="8"/>
      <c r="V150" s="16"/>
    </row>
    <row r="151" spans="1:22" ht="12" x14ac:dyDescent="0.15">
      <c r="A151" s="6" t="s">
        <v>16</v>
      </c>
      <c r="B151" s="7" t="s">
        <v>17</v>
      </c>
      <c r="C151" s="7" t="s">
        <v>18</v>
      </c>
      <c r="D151" s="7">
        <v>36</v>
      </c>
      <c r="E151" s="8" t="s">
        <v>228</v>
      </c>
      <c r="F151" s="9">
        <v>45047</v>
      </c>
      <c r="G151" s="9">
        <v>46142</v>
      </c>
      <c r="H151" s="8">
        <v>1</v>
      </c>
      <c r="I151" s="8"/>
      <c r="J151" s="14" t="s">
        <v>29</v>
      </c>
      <c r="K151" s="14" t="s">
        <v>20</v>
      </c>
      <c r="L151" s="14" t="s">
        <v>187</v>
      </c>
      <c r="M151" s="10"/>
      <c r="N151" s="8" t="s">
        <v>21</v>
      </c>
      <c r="O151" s="8" t="str">
        <f>_xlfn.XLOOKUP(Table1[[#This Row],[Serial Number]],[1]Apr!$O:$O,[1]Apr!$F:$F)</f>
        <v>AVANI Hua Hin Resort &amp; Villas</v>
      </c>
      <c r="P151" s="8" t="s">
        <v>377</v>
      </c>
      <c r="Q151" s="46" t="s">
        <v>387</v>
      </c>
      <c r="R151" s="8" t="str">
        <f>Table1[[#This Row],[Collection City (Required)]]</f>
        <v>AVANI Hua Hin Resort &amp; Villas</v>
      </c>
      <c r="S151" s="8"/>
      <c r="T151" s="48">
        <v>46150</v>
      </c>
      <c r="U151" s="8"/>
      <c r="V151" s="16"/>
    </row>
    <row r="152" spans="1:22" ht="12" x14ac:dyDescent="0.15">
      <c r="A152" s="6" t="s">
        <v>16</v>
      </c>
      <c r="B152" s="7" t="s">
        <v>17</v>
      </c>
      <c r="C152" s="7" t="s">
        <v>18</v>
      </c>
      <c r="D152" s="7">
        <v>36</v>
      </c>
      <c r="E152" s="8" t="s">
        <v>228</v>
      </c>
      <c r="F152" s="9">
        <v>45047</v>
      </c>
      <c r="G152" s="9">
        <v>46142</v>
      </c>
      <c r="H152" s="8">
        <v>1</v>
      </c>
      <c r="I152" s="8"/>
      <c r="J152" s="14" t="s">
        <v>29</v>
      </c>
      <c r="K152" s="14" t="s">
        <v>20</v>
      </c>
      <c r="L152" s="14" t="s">
        <v>188</v>
      </c>
      <c r="M152" s="10"/>
      <c r="N152" s="8" t="s">
        <v>21</v>
      </c>
      <c r="O152" s="8" t="str">
        <f>_xlfn.XLOOKUP(Table1[[#This Row],[Serial Number]],[1]Apr!$O:$O,[1]Apr!$F:$F)</f>
        <v>AVANI Hua Hin Resort &amp; Villas</v>
      </c>
      <c r="P152" s="8" t="s">
        <v>377</v>
      </c>
      <c r="Q152" s="46" t="s">
        <v>387</v>
      </c>
      <c r="R152" s="8" t="str">
        <f>Table1[[#This Row],[Collection City (Required)]]</f>
        <v>AVANI Hua Hin Resort &amp; Villas</v>
      </c>
      <c r="S152" s="8"/>
      <c r="T152" s="48">
        <v>46150</v>
      </c>
      <c r="U152" s="8"/>
      <c r="V152" s="16"/>
    </row>
    <row r="153" spans="1:22" ht="12" x14ac:dyDescent="0.15">
      <c r="A153" s="6" t="s">
        <v>16</v>
      </c>
      <c r="B153" s="7" t="s">
        <v>17</v>
      </c>
      <c r="C153" s="7" t="s">
        <v>18</v>
      </c>
      <c r="D153" s="7">
        <v>36</v>
      </c>
      <c r="E153" s="8" t="s">
        <v>228</v>
      </c>
      <c r="F153" s="9">
        <v>45047</v>
      </c>
      <c r="G153" s="9">
        <v>46142</v>
      </c>
      <c r="H153" s="8">
        <v>1</v>
      </c>
      <c r="I153" s="8"/>
      <c r="J153" s="14" t="s">
        <v>29</v>
      </c>
      <c r="K153" s="14" t="s">
        <v>20</v>
      </c>
      <c r="L153" s="14" t="s">
        <v>189</v>
      </c>
      <c r="M153" s="10"/>
      <c r="N153" s="8" t="s">
        <v>21</v>
      </c>
      <c r="O153" s="8" t="str">
        <f>_xlfn.XLOOKUP(Table1[[#This Row],[Serial Number]],[1]Apr!$O:$O,[1]Apr!$F:$F)</f>
        <v>AVANI Hua Hin Resort &amp; Villas</v>
      </c>
      <c r="P153" s="8" t="s">
        <v>377</v>
      </c>
      <c r="Q153" s="46" t="s">
        <v>387</v>
      </c>
      <c r="R153" s="8" t="str">
        <f>Table1[[#This Row],[Collection City (Required)]]</f>
        <v>AVANI Hua Hin Resort &amp; Villas</v>
      </c>
      <c r="S153" s="8"/>
      <c r="T153" s="48">
        <v>46150</v>
      </c>
      <c r="U153" s="8"/>
      <c r="V153" s="16"/>
    </row>
    <row r="154" spans="1:22" ht="12" x14ac:dyDescent="0.15">
      <c r="A154" s="6" t="s">
        <v>16</v>
      </c>
      <c r="B154" s="7" t="s">
        <v>17</v>
      </c>
      <c r="C154" s="7" t="s">
        <v>18</v>
      </c>
      <c r="D154" s="7">
        <v>36</v>
      </c>
      <c r="E154" s="8" t="s">
        <v>228</v>
      </c>
      <c r="F154" s="9">
        <v>45047</v>
      </c>
      <c r="G154" s="9">
        <v>46142</v>
      </c>
      <c r="H154" s="8">
        <v>1</v>
      </c>
      <c r="I154" s="8"/>
      <c r="J154" s="14" t="s">
        <v>29</v>
      </c>
      <c r="K154" s="14" t="s">
        <v>20</v>
      </c>
      <c r="L154" s="14" t="s">
        <v>190</v>
      </c>
      <c r="M154" s="10"/>
      <c r="N154" s="8" t="s">
        <v>21</v>
      </c>
      <c r="O154" s="8" t="str">
        <f>_xlfn.XLOOKUP(Table1[[#This Row],[Serial Number]],[1]Apr!$O:$O,[1]Apr!$F:$F)</f>
        <v>AVANI Hua Hin Resort &amp; Villas</v>
      </c>
      <c r="P154" s="8" t="s">
        <v>377</v>
      </c>
      <c r="Q154" s="46" t="s">
        <v>387</v>
      </c>
      <c r="R154" s="8" t="str">
        <f>Table1[[#This Row],[Collection City (Required)]]</f>
        <v>AVANI Hua Hin Resort &amp; Villas</v>
      </c>
      <c r="S154" s="8"/>
      <c r="T154" s="48">
        <v>46150</v>
      </c>
      <c r="U154" s="8"/>
      <c r="V154" s="16"/>
    </row>
    <row r="155" spans="1:22" ht="12" x14ac:dyDescent="0.15">
      <c r="A155" s="6" t="s">
        <v>16</v>
      </c>
      <c r="B155" s="7" t="s">
        <v>17</v>
      </c>
      <c r="C155" s="7" t="s">
        <v>18</v>
      </c>
      <c r="D155" s="7">
        <v>36</v>
      </c>
      <c r="E155" s="8" t="s">
        <v>228</v>
      </c>
      <c r="F155" s="9">
        <v>45047</v>
      </c>
      <c r="G155" s="9">
        <v>46142</v>
      </c>
      <c r="H155" s="8">
        <v>1</v>
      </c>
      <c r="I155" s="8"/>
      <c r="J155" s="14" t="s">
        <v>29</v>
      </c>
      <c r="K155" s="14" t="s">
        <v>20</v>
      </c>
      <c r="L155" s="14" t="s">
        <v>191</v>
      </c>
      <c r="M155" s="10"/>
      <c r="N155" s="8" t="s">
        <v>21</v>
      </c>
      <c r="O155" s="8" t="str">
        <f>_xlfn.XLOOKUP(Table1[[#This Row],[Serial Number]],[1]Apr!$O:$O,[1]Apr!$F:$F)</f>
        <v>AVANI Hua Hin Resort &amp; Villas</v>
      </c>
      <c r="P155" s="8" t="s">
        <v>377</v>
      </c>
      <c r="Q155" s="46" t="s">
        <v>387</v>
      </c>
      <c r="R155" s="8" t="str">
        <f>Table1[[#This Row],[Collection City (Required)]]</f>
        <v>AVANI Hua Hin Resort &amp; Villas</v>
      </c>
      <c r="S155" s="8"/>
      <c r="T155" s="48">
        <v>46150</v>
      </c>
      <c r="U155" s="8"/>
      <c r="V155" s="16"/>
    </row>
    <row r="156" spans="1:22" ht="12" x14ac:dyDescent="0.15">
      <c r="A156" s="6" t="s">
        <v>16</v>
      </c>
      <c r="B156" s="7" t="s">
        <v>17</v>
      </c>
      <c r="C156" s="7" t="s">
        <v>18</v>
      </c>
      <c r="D156" s="7">
        <v>36</v>
      </c>
      <c r="E156" s="8" t="s">
        <v>228</v>
      </c>
      <c r="F156" s="9">
        <v>45047</v>
      </c>
      <c r="G156" s="9">
        <v>46142</v>
      </c>
      <c r="H156" s="8">
        <v>1</v>
      </c>
      <c r="I156" s="8"/>
      <c r="J156" s="14" t="s">
        <v>29</v>
      </c>
      <c r="K156" s="14" t="s">
        <v>20</v>
      </c>
      <c r="L156" s="14" t="s">
        <v>192</v>
      </c>
      <c r="M156" s="10"/>
      <c r="N156" s="8" t="s">
        <v>21</v>
      </c>
      <c r="O156" s="8" t="str">
        <f>_xlfn.XLOOKUP(Table1[[#This Row],[Serial Number]],[1]Apr!$O:$O,[1]Apr!$F:$F)</f>
        <v>AVANI Hua Hin Resort &amp; Villas</v>
      </c>
      <c r="P156" s="8" t="s">
        <v>377</v>
      </c>
      <c r="Q156" s="46" t="s">
        <v>387</v>
      </c>
      <c r="R156" s="8" t="str">
        <f>Table1[[#This Row],[Collection City (Required)]]</f>
        <v>AVANI Hua Hin Resort &amp; Villas</v>
      </c>
      <c r="S156" s="8"/>
      <c r="T156" s="48">
        <v>46150</v>
      </c>
      <c r="U156" s="8"/>
      <c r="V156" s="16"/>
    </row>
    <row r="157" spans="1:22" ht="12" x14ac:dyDescent="0.15">
      <c r="A157" s="6" t="s">
        <v>16</v>
      </c>
      <c r="B157" s="7" t="s">
        <v>17</v>
      </c>
      <c r="C157" s="7" t="s">
        <v>18</v>
      </c>
      <c r="D157" s="7">
        <v>36</v>
      </c>
      <c r="E157" s="8" t="s">
        <v>228</v>
      </c>
      <c r="F157" s="9">
        <v>45047</v>
      </c>
      <c r="G157" s="9">
        <v>46142</v>
      </c>
      <c r="H157" s="8">
        <v>1</v>
      </c>
      <c r="I157" s="8"/>
      <c r="J157" s="14" t="s">
        <v>29</v>
      </c>
      <c r="K157" s="14" t="s">
        <v>20</v>
      </c>
      <c r="L157" s="14" t="s">
        <v>193</v>
      </c>
      <c r="M157" s="10"/>
      <c r="N157" s="8" t="s">
        <v>21</v>
      </c>
      <c r="O157" s="8" t="str">
        <f>_xlfn.XLOOKUP(Table1[[#This Row],[Serial Number]],[1]Apr!$O:$O,[1]Apr!$F:$F)</f>
        <v>AVANI Hua Hin Resort &amp; Villas</v>
      </c>
      <c r="P157" s="8" t="s">
        <v>377</v>
      </c>
      <c r="Q157" s="46" t="s">
        <v>387</v>
      </c>
      <c r="R157" s="8" t="str">
        <f>Table1[[#This Row],[Collection City (Required)]]</f>
        <v>AVANI Hua Hin Resort &amp; Villas</v>
      </c>
      <c r="S157" s="8"/>
      <c r="T157" s="48">
        <v>46150</v>
      </c>
      <c r="U157" s="8"/>
      <c r="V157" s="16"/>
    </row>
    <row r="158" spans="1:22" ht="12" x14ac:dyDescent="0.15">
      <c r="A158" s="6" t="s">
        <v>16</v>
      </c>
      <c r="B158" s="7" t="s">
        <v>17</v>
      </c>
      <c r="C158" s="7" t="s">
        <v>18</v>
      </c>
      <c r="D158" s="7">
        <v>36</v>
      </c>
      <c r="E158" s="8" t="s">
        <v>228</v>
      </c>
      <c r="F158" s="9">
        <v>45047</v>
      </c>
      <c r="G158" s="9">
        <v>46142</v>
      </c>
      <c r="H158" s="8">
        <v>1</v>
      </c>
      <c r="I158" s="8"/>
      <c r="J158" s="14" t="s">
        <v>29</v>
      </c>
      <c r="K158" s="14" t="s">
        <v>20</v>
      </c>
      <c r="L158" s="14" t="s">
        <v>194</v>
      </c>
      <c r="M158" s="10"/>
      <c r="N158" s="8" t="s">
        <v>21</v>
      </c>
      <c r="O158" s="8" t="str">
        <f>_xlfn.XLOOKUP(Table1[[#This Row],[Serial Number]],[1]Apr!$O:$O,[1]Apr!$F:$F)</f>
        <v>AVANI Hua Hin Resort &amp; Villas</v>
      </c>
      <c r="P158" s="8" t="s">
        <v>377</v>
      </c>
      <c r="Q158" s="46" t="s">
        <v>387</v>
      </c>
      <c r="R158" s="8" t="str">
        <f>Table1[[#This Row],[Collection City (Required)]]</f>
        <v>AVANI Hua Hin Resort &amp; Villas</v>
      </c>
      <c r="S158" s="8"/>
      <c r="T158" s="48">
        <v>46150</v>
      </c>
      <c r="U158" s="8"/>
      <c r="V158" s="16"/>
    </row>
    <row r="159" spans="1:22" ht="12" x14ac:dyDescent="0.15">
      <c r="A159" s="6" t="s">
        <v>16</v>
      </c>
      <c r="B159" s="7" t="s">
        <v>17</v>
      </c>
      <c r="C159" s="7" t="s">
        <v>18</v>
      </c>
      <c r="D159" s="7">
        <v>36</v>
      </c>
      <c r="E159" s="8" t="s">
        <v>228</v>
      </c>
      <c r="F159" s="9">
        <v>45047</v>
      </c>
      <c r="G159" s="9">
        <v>46142</v>
      </c>
      <c r="H159" s="8">
        <v>1</v>
      </c>
      <c r="I159" s="8"/>
      <c r="J159" s="14" t="s">
        <v>29</v>
      </c>
      <c r="K159" s="14" t="s">
        <v>20</v>
      </c>
      <c r="L159" s="14" t="s">
        <v>195</v>
      </c>
      <c r="M159" s="10"/>
      <c r="N159" s="8" t="s">
        <v>21</v>
      </c>
      <c r="O159" s="8" t="str">
        <f>_xlfn.XLOOKUP(Table1[[#This Row],[Serial Number]],[1]Apr!$O:$O,[1]Apr!$F:$F)</f>
        <v>AVANI Hua Hin Resort &amp; Villas</v>
      </c>
      <c r="P159" s="8" t="s">
        <v>377</v>
      </c>
      <c r="Q159" s="46" t="s">
        <v>387</v>
      </c>
      <c r="R159" s="8" t="str">
        <f>Table1[[#This Row],[Collection City (Required)]]</f>
        <v>AVANI Hua Hin Resort &amp; Villas</v>
      </c>
      <c r="S159" s="8"/>
      <c r="T159" s="48">
        <v>46150</v>
      </c>
      <c r="U159" s="8"/>
      <c r="V159" s="16"/>
    </row>
    <row r="160" spans="1:22" ht="12" x14ac:dyDescent="0.15">
      <c r="A160" s="6" t="s">
        <v>16</v>
      </c>
      <c r="B160" s="7" t="s">
        <v>17</v>
      </c>
      <c r="C160" s="7" t="s">
        <v>18</v>
      </c>
      <c r="D160" s="7">
        <v>36</v>
      </c>
      <c r="E160" s="8" t="s">
        <v>228</v>
      </c>
      <c r="F160" s="9">
        <v>45047</v>
      </c>
      <c r="G160" s="9">
        <v>46142</v>
      </c>
      <c r="H160" s="8">
        <v>1</v>
      </c>
      <c r="I160" s="8"/>
      <c r="J160" s="14" t="s">
        <v>29</v>
      </c>
      <c r="K160" s="14" t="s">
        <v>20</v>
      </c>
      <c r="L160" s="14" t="s">
        <v>196</v>
      </c>
      <c r="M160" s="10"/>
      <c r="N160" s="8" t="s">
        <v>21</v>
      </c>
      <c r="O160" s="8" t="str">
        <f>_xlfn.XLOOKUP(Table1[[#This Row],[Serial Number]],[1]Apr!$O:$O,[1]Apr!$F:$F)</f>
        <v>AVANI Hua Hin Resort &amp; Villas</v>
      </c>
      <c r="P160" s="8" t="s">
        <v>377</v>
      </c>
      <c r="Q160" s="46" t="s">
        <v>387</v>
      </c>
      <c r="R160" s="8" t="str">
        <f>Table1[[#This Row],[Collection City (Required)]]</f>
        <v>AVANI Hua Hin Resort &amp; Villas</v>
      </c>
      <c r="S160" s="8"/>
      <c r="T160" s="48">
        <v>46150</v>
      </c>
      <c r="U160" s="8"/>
      <c r="V160" s="16"/>
    </row>
    <row r="161" spans="1:22" ht="12" x14ac:dyDescent="0.15">
      <c r="A161" s="6" t="s">
        <v>16</v>
      </c>
      <c r="B161" s="7" t="s">
        <v>17</v>
      </c>
      <c r="C161" s="7" t="s">
        <v>18</v>
      </c>
      <c r="D161" s="7">
        <v>36</v>
      </c>
      <c r="E161" s="8" t="s">
        <v>228</v>
      </c>
      <c r="F161" s="9">
        <v>45047</v>
      </c>
      <c r="G161" s="9">
        <v>46142</v>
      </c>
      <c r="H161" s="8">
        <v>1</v>
      </c>
      <c r="I161" s="8"/>
      <c r="J161" s="14" t="s">
        <v>29</v>
      </c>
      <c r="K161" s="14" t="s">
        <v>20</v>
      </c>
      <c r="L161" s="14" t="s">
        <v>197</v>
      </c>
      <c r="M161" s="10"/>
      <c r="N161" s="8" t="s">
        <v>21</v>
      </c>
      <c r="O161" s="8" t="str">
        <f>_xlfn.XLOOKUP(Table1[[#This Row],[Serial Number]],[1]Apr!$O:$O,[1]Apr!$F:$F)</f>
        <v>AVANI Hua Hin Resort &amp; Villas</v>
      </c>
      <c r="P161" s="8" t="s">
        <v>377</v>
      </c>
      <c r="Q161" s="46" t="s">
        <v>387</v>
      </c>
      <c r="R161" s="8" t="str">
        <f>Table1[[#This Row],[Collection City (Required)]]</f>
        <v>AVANI Hua Hin Resort &amp; Villas</v>
      </c>
      <c r="S161" s="8"/>
      <c r="T161" s="48">
        <v>46150</v>
      </c>
      <c r="U161" s="8"/>
      <c r="V161" s="16"/>
    </row>
    <row r="162" spans="1:22" ht="12" x14ac:dyDescent="0.15">
      <c r="A162" s="6" t="s">
        <v>16</v>
      </c>
      <c r="B162" s="7" t="s">
        <v>17</v>
      </c>
      <c r="C162" s="7" t="s">
        <v>18</v>
      </c>
      <c r="D162" s="7">
        <v>36</v>
      </c>
      <c r="E162" s="8" t="s">
        <v>228</v>
      </c>
      <c r="F162" s="9">
        <v>45047</v>
      </c>
      <c r="G162" s="9">
        <v>46142</v>
      </c>
      <c r="H162" s="8">
        <v>1</v>
      </c>
      <c r="I162" s="8"/>
      <c r="J162" s="14" t="s">
        <v>29</v>
      </c>
      <c r="K162" s="14" t="s">
        <v>20</v>
      </c>
      <c r="L162" s="14" t="s">
        <v>198</v>
      </c>
      <c r="M162" s="10"/>
      <c r="N162" s="8" t="s">
        <v>21</v>
      </c>
      <c r="O162" s="8" t="str">
        <f>_xlfn.XLOOKUP(Table1[[#This Row],[Serial Number]],[1]Apr!$O:$O,[1]Apr!$F:$F)</f>
        <v>AVANI Hua Hin Resort &amp; Villas</v>
      </c>
      <c r="P162" s="8" t="s">
        <v>377</v>
      </c>
      <c r="Q162" s="46" t="s">
        <v>387</v>
      </c>
      <c r="R162" s="8" t="str">
        <f>Table1[[#This Row],[Collection City (Required)]]</f>
        <v>AVANI Hua Hin Resort &amp; Villas</v>
      </c>
      <c r="S162" s="8"/>
      <c r="T162" s="48">
        <v>46150</v>
      </c>
      <c r="U162" s="8"/>
      <c r="V162" s="16"/>
    </row>
    <row r="163" spans="1:22" ht="12" x14ac:dyDescent="0.15">
      <c r="A163" s="6" t="s">
        <v>16</v>
      </c>
      <c r="B163" s="7" t="s">
        <v>17</v>
      </c>
      <c r="C163" s="7" t="s">
        <v>18</v>
      </c>
      <c r="D163" s="7">
        <v>36</v>
      </c>
      <c r="E163" s="8" t="s">
        <v>228</v>
      </c>
      <c r="F163" s="9">
        <v>45047</v>
      </c>
      <c r="G163" s="9">
        <v>46142</v>
      </c>
      <c r="H163" s="8">
        <v>1</v>
      </c>
      <c r="I163" s="8"/>
      <c r="J163" s="14" t="s">
        <v>29</v>
      </c>
      <c r="K163" s="14" t="s">
        <v>20</v>
      </c>
      <c r="L163" s="14" t="s">
        <v>199</v>
      </c>
      <c r="M163" s="10"/>
      <c r="N163" s="8" t="s">
        <v>21</v>
      </c>
      <c r="O163" s="8" t="str">
        <f>_xlfn.XLOOKUP(Table1[[#This Row],[Serial Number]],[1]Apr!$O:$O,[1]Apr!$F:$F)</f>
        <v>AVANI Hua Hin Resort &amp; Villas</v>
      </c>
      <c r="P163" s="8" t="s">
        <v>377</v>
      </c>
      <c r="Q163" s="46" t="s">
        <v>387</v>
      </c>
      <c r="R163" s="8" t="str">
        <f>Table1[[#This Row],[Collection City (Required)]]</f>
        <v>AVANI Hua Hin Resort &amp; Villas</v>
      </c>
      <c r="S163" s="8"/>
      <c r="T163" s="48">
        <v>46150</v>
      </c>
      <c r="U163" s="8"/>
      <c r="V163" s="16"/>
    </row>
    <row r="164" spans="1:22" ht="12" x14ac:dyDescent="0.15">
      <c r="A164" s="6" t="s">
        <v>16</v>
      </c>
      <c r="B164" s="7" t="s">
        <v>17</v>
      </c>
      <c r="C164" s="7" t="s">
        <v>18</v>
      </c>
      <c r="D164" s="7">
        <v>36</v>
      </c>
      <c r="E164" s="8" t="s">
        <v>228</v>
      </c>
      <c r="F164" s="9">
        <v>45047</v>
      </c>
      <c r="G164" s="9">
        <v>46142</v>
      </c>
      <c r="H164" s="8">
        <v>1</v>
      </c>
      <c r="I164" s="8"/>
      <c r="J164" s="14" t="s">
        <v>29</v>
      </c>
      <c r="K164" s="14" t="s">
        <v>20</v>
      </c>
      <c r="L164" s="14" t="s">
        <v>200</v>
      </c>
      <c r="M164" s="10"/>
      <c r="N164" s="8" t="s">
        <v>21</v>
      </c>
      <c r="O164" s="8" t="str">
        <f>_xlfn.XLOOKUP(Table1[[#This Row],[Serial Number]],[1]Apr!$O:$O,[1]Apr!$F:$F)</f>
        <v>AVANI Hua Hin Resort &amp; Villas</v>
      </c>
      <c r="P164" s="8" t="s">
        <v>377</v>
      </c>
      <c r="Q164" s="46" t="s">
        <v>387</v>
      </c>
      <c r="R164" s="8" t="str">
        <f>Table1[[#This Row],[Collection City (Required)]]</f>
        <v>AVANI Hua Hin Resort &amp; Villas</v>
      </c>
      <c r="S164" s="8"/>
      <c r="T164" s="48">
        <v>46150</v>
      </c>
      <c r="U164" s="8"/>
      <c r="V164" s="16"/>
    </row>
    <row r="165" spans="1:22" ht="12" x14ac:dyDescent="0.15">
      <c r="A165" s="6" t="s">
        <v>16</v>
      </c>
      <c r="B165" s="7" t="s">
        <v>17</v>
      </c>
      <c r="C165" s="7" t="s">
        <v>18</v>
      </c>
      <c r="D165" s="7">
        <v>36</v>
      </c>
      <c r="E165" s="8" t="s">
        <v>228</v>
      </c>
      <c r="F165" s="9">
        <v>45047</v>
      </c>
      <c r="G165" s="9">
        <v>46142</v>
      </c>
      <c r="H165" s="8">
        <v>1</v>
      </c>
      <c r="I165" s="8"/>
      <c r="J165" s="14" t="s">
        <v>29</v>
      </c>
      <c r="K165" s="14" t="s">
        <v>20</v>
      </c>
      <c r="L165" s="14" t="s">
        <v>201</v>
      </c>
      <c r="M165" s="10"/>
      <c r="N165" s="8" t="s">
        <v>21</v>
      </c>
      <c r="O165" s="8" t="str">
        <f>_xlfn.XLOOKUP(Table1[[#This Row],[Serial Number]],[1]Apr!$O:$O,[1]Apr!$F:$F)</f>
        <v>AVANI Hua Hin Resort &amp; Villas</v>
      </c>
      <c r="P165" s="8" t="s">
        <v>377</v>
      </c>
      <c r="Q165" s="46" t="s">
        <v>387</v>
      </c>
      <c r="R165" s="8" t="str">
        <f>Table1[[#This Row],[Collection City (Required)]]</f>
        <v>AVANI Hua Hin Resort &amp; Villas</v>
      </c>
      <c r="S165" s="8"/>
      <c r="T165" s="48">
        <v>46150</v>
      </c>
      <c r="U165" s="8"/>
      <c r="V165" s="16"/>
    </row>
    <row r="166" spans="1:22" ht="12" x14ac:dyDescent="0.15">
      <c r="A166" s="6" t="s">
        <v>16</v>
      </c>
      <c r="B166" s="7" t="s">
        <v>17</v>
      </c>
      <c r="C166" s="7" t="s">
        <v>18</v>
      </c>
      <c r="D166" s="7">
        <v>36</v>
      </c>
      <c r="E166" s="8" t="s">
        <v>228</v>
      </c>
      <c r="F166" s="9">
        <v>45047</v>
      </c>
      <c r="G166" s="9">
        <v>46142</v>
      </c>
      <c r="H166" s="8">
        <v>1</v>
      </c>
      <c r="I166" s="8"/>
      <c r="J166" s="14" t="s">
        <v>29</v>
      </c>
      <c r="K166" s="14" t="s">
        <v>20</v>
      </c>
      <c r="L166" s="14" t="s">
        <v>202</v>
      </c>
      <c r="M166" s="10"/>
      <c r="N166" s="8" t="s">
        <v>21</v>
      </c>
      <c r="O166" s="8" t="str">
        <f>_xlfn.XLOOKUP(Table1[[#This Row],[Serial Number]],[1]Apr!$O:$O,[1]Apr!$F:$F)</f>
        <v>AVANI Hua Hin Resort &amp; Villas</v>
      </c>
      <c r="P166" s="8" t="s">
        <v>377</v>
      </c>
      <c r="Q166" s="46" t="s">
        <v>387</v>
      </c>
      <c r="R166" s="8" t="str">
        <f>Table1[[#This Row],[Collection City (Required)]]</f>
        <v>AVANI Hua Hin Resort &amp; Villas</v>
      </c>
      <c r="S166" s="8"/>
      <c r="T166" s="48">
        <v>46150</v>
      </c>
      <c r="U166" s="8"/>
      <c r="V166" s="16"/>
    </row>
    <row r="167" spans="1:22" ht="12" x14ac:dyDescent="0.15">
      <c r="A167" s="6" t="s">
        <v>16</v>
      </c>
      <c r="B167" s="7" t="s">
        <v>17</v>
      </c>
      <c r="C167" s="7" t="s">
        <v>18</v>
      </c>
      <c r="D167" s="7">
        <v>36</v>
      </c>
      <c r="E167" s="8" t="s">
        <v>228</v>
      </c>
      <c r="F167" s="9">
        <v>45047</v>
      </c>
      <c r="G167" s="9">
        <v>46142</v>
      </c>
      <c r="H167" s="8">
        <v>1</v>
      </c>
      <c r="I167" s="8"/>
      <c r="J167" s="14" t="s">
        <v>29</v>
      </c>
      <c r="K167" s="14" t="s">
        <v>20</v>
      </c>
      <c r="L167" s="14" t="s">
        <v>203</v>
      </c>
      <c r="M167" s="10"/>
      <c r="N167" s="8" t="s">
        <v>21</v>
      </c>
      <c r="O167" s="8" t="str">
        <f>_xlfn.XLOOKUP(Table1[[#This Row],[Serial Number]],[1]Apr!$O:$O,[1]Apr!$F:$F)</f>
        <v>AVANI Hua Hin Resort &amp; Villas</v>
      </c>
      <c r="P167" s="8" t="s">
        <v>377</v>
      </c>
      <c r="Q167" s="46" t="s">
        <v>387</v>
      </c>
      <c r="R167" s="8" t="str">
        <f>Table1[[#This Row],[Collection City (Required)]]</f>
        <v>AVANI Hua Hin Resort &amp; Villas</v>
      </c>
      <c r="S167" s="8"/>
      <c r="T167" s="48">
        <v>46150</v>
      </c>
      <c r="U167" s="8"/>
      <c r="V167" s="16"/>
    </row>
    <row r="168" spans="1:22" ht="12" x14ac:dyDescent="0.15">
      <c r="A168" s="6" t="s">
        <v>16</v>
      </c>
      <c r="B168" s="7" t="s">
        <v>17</v>
      </c>
      <c r="C168" s="7" t="s">
        <v>18</v>
      </c>
      <c r="D168" s="7">
        <v>36</v>
      </c>
      <c r="E168" s="8" t="s">
        <v>228</v>
      </c>
      <c r="F168" s="9">
        <v>45047</v>
      </c>
      <c r="G168" s="9">
        <v>46142</v>
      </c>
      <c r="H168" s="8">
        <v>1</v>
      </c>
      <c r="I168" s="8"/>
      <c r="J168" s="14" t="s">
        <v>29</v>
      </c>
      <c r="K168" s="14" t="s">
        <v>20</v>
      </c>
      <c r="L168" s="14" t="s">
        <v>204</v>
      </c>
      <c r="M168" s="10"/>
      <c r="N168" s="8" t="s">
        <v>21</v>
      </c>
      <c r="O168" s="8" t="str">
        <f>_xlfn.XLOOKUP(Table1[[#This Row],[Serial Number]],[1]Apr!$O:$O,[1]Apr!$F:$F)</f>
        <v>AVANI Hua Hin Resort &amp; Villas</v>
      </c>
      <c r="P168" s="8" t="s">
        <v>377</v>
      </c>
      <c r="Q168" s="46" t="s">
        <v>387</v>
      </c>
      <c r="R168" s="8" t="str">
        <f>Table1[[#This Row],[Collection City (Required)]]</f>
        <v>AVANI Hua Hin Resort &amp; Villas</v>
      </c>
      <c r="S168" s="8"/>
      <c r="T168" s="48">
        <v>46150</v>
      </c>
      <c r="U168" s="8"/>
      <c r="V168" s="16"/>
    </row>
    <row r="169" spans="1:22" ht="12" x14ac:dyDescent="0.15">
      <c r="A169" s="6" t="s">
        <v>16</v>
      </c>
      <c r="B169" s="7" t="s">
        <v>17</v>
      </c>
      <c r="C169" s="7" t="s">
        <v>18</v>
      </c>
      <c r="D169" s="7">
        <v>36</v>
      </c>
      <c r="E169" s="8" t="s">
        <v>228</v>
      </c>
      <c r="F169" s="9">
        <v>45047</v>
      </c>
      <c r="G169" s="9">
        <v>46142</v>
      </c>
      <c r="H169" s="8">
        <v>1</v>
      </c>
      <c r="I169" s="8"/>
      <c r="J169" s="14" t="s">
        <v>29</v>
      </c>
      <c r="K169" s="14" t="s">
        <v>20</v>
      </c>
      <c r="L169" s="14" t="s">
        <v>205</v>
      </c>
      <c r="M169" s="10"/>
      <c r="N169" s="8" t="s">
        <v>21</v>
      </c>
      <c r="O169" s="8" t="str">
        <f>_xlfn.XLOOKUP(Table1[[#This Row],[Serial Number]],[1]Apr!$O:$O,[1]Apr!$F:$F)</f>
        <v>AVANI Hua Hin Resort &amp; Villas</v>
      </c>
      <c r="P169" s="8" t="s">
        <v>377</v>
      </c>
      <c r="Q169" s="46" t="s">
        <v>387</v>
      </c>
      <c r="R169" s="8" t="str">
        <f>Table1[[#This Row],[Collection City (Required)]]</f>
        <v>AVANI Hua Hin Resort &amp; Villas</v>
      </c>
      <c r="S169" s="8"/>
      <c r="T169" s="48">
        <v>46150</v>
      </c>
      <c r="U169" s="8"/>
      <c r="V169" s="16"/>
    </row>
    <row r="170" spans="1:22" ht="12" x14ac:dyDescent="0.15">
      <c r="A170" s="6" t="s">
        <v>16</v>
      </c>
      <c r="B170" s="7" t="s">
        <v>17</v>
      </c>
      <c r="C170" s="7" t="s">
        <v>18</v>
      </c>
      <c r="D170" s="7">
        <v>36</v>
      </c>
      <c r="E170" s="8" t="s">
        <v>228</v>
      </c>
      <c r="F170" s="9">
        <v>45047</v>
      </c>
      <c r="G170" s="9">
        <v>46142</v>
      </c>
      <c r="H170" s="8">
        <v>1</v>
      </c>
      <c r="I170" s="8"/>
      <c r="J170" s="14" t="s">
        <v>29</v>
      </c>
      <c r="K170" s="14" t="s">
        <v>20</v>
      </c>
      <c r="L170" s="14" t="s">
        <v>206</v>
      </c>
      <c r="M170" s="10"/>
      <c r="N170" s="8" t="s">
        <v>21</v>
      </c>
      <c r="O170" s="8" t="str">
        <f>_xlfn.XLOOKUP(Table1[[#This Row],[Serial Number]],[1]Apr!$O:$O,[1]Apr!$F:$F)</f>
        <v>AVANI Hua Hin Resort &amp; Villas</v>
      </c>
      <c r="P170" s="8" t="s">
        <v>377</v>
      </c>
      <c r="Q170" s="46" t="s">
        <v>387</v>
      </c>
      <c r="R170" s="8" t="str">
        <f>Table1[[#This Row],[Collection City (Required)]]</f>
        <v>AVANI Hua Hin Resort &amp; Villas</v>
      </c>
      <c r="S170" s="8"/>
      <c r="T170" s="48">
        <v>46150</v>
      </c>
      <c r="U170" s="8"/>
      <c r="V170" s="16"/>
    </row>
    <row r="171" spans="1:22" ht="12" x14ac:dyDescent="0.15">
      <c r="A171" s="6" t="s">
        <v>16</v>
      </c>
      <c r="B171" s="7" t="s">
        <v>17</v>
      </c>
      <c r="C171" s="7" t="s">
        <v>18</v>
      </c>
      <c r="D171" s="7">
        <v>36</v>
      </c>
      <c r="E171" s="8" t="s">
        <v>228</v>
      </c>
      <c r="F171" s="9">
        <v>45047</v>
      </c>
      <c r="G171" s="9">
        <v>46142</v>
      </c>
      <c r="H171" s="8">
        <v>1</v>
      </c>
      <c r="I171" s="8"/>
      <c r="J171" s="14" t="s">
        <v>29</v>
      </c>
      <c r="K171" s="14" t="s">
        <v>20</v>
      </c>
      <c r="L171" s="14" t="s">
        <v>207</v>
      </c>
      <c r="M171" s="10"/>
      <c r="N171" s="8" t="s">
        <v>21</v>
      </c>
      <c r="O171" s="8" t="str">
        <f>_xlfn.XLOOKUP(Table1[[#This Row],[Serial Number]],[1]Apr!$O:$O,[1]Apr!$F:$F)</f>
        <v>AVANI Hua Hin Resort &amp; Villas</v>
      </c>
      <c r="P171" s="8" t="s">
        <v>377</v>
      </c>
      <c r="Q171" s="46" t="s">
        <v>387</v>
      </c>
      <c r="R171" s="8" t="str">
        <f>Table1[[#This Row],[Collection City (Required)]]</f>
        <v>AVANI Hua Hin Resort &amp; Villas</v>
      </c>
      <c r="S171" s="8"/>
      <c r="T171" s="48">
        <v>46150</v>
      </c>
      <c r="U171" s="8"/>
      <c r="V171" s="16"/>
    </row>
    <row r="172" spans="1:22" ht="12" x14ac:dyDescent="0.15">
      <c r="A172" s="6" t="s">
        <v>16</v>
      </c>
      <c r="B172" s="7" t="s">
        <v>17</v>
      </c>
      <c r="C172" s="7" t="s">
        <v>18</v>
      </c>
      <c r="D172" s="7">
        <v>36</v>
      </c>
      <c r="E172" s="8" t="s">
        <v>228</v>
      </c>
      <c r="F172" s="9">
        <v>45047</v>
      </c>
      <c r="G172" s="9">
        <v>46142</v>
      </c>
      <c r="H172" s="8">
        <v>1</v>
      </c>
      <c r="I172" s="8"/>
      <c r="J172" s="14" t="s">
        <v>29</v>
      </c>
      <c r="K172" s="14" t="s">
        <v>20</v>
      </c>
      <c r="L172" s="14" t="s">
        <v>208</v>
      </c>
      <c r="M172" s="10"/>
      <c r="N172" s="8" t="s">
        <v>21</v>
      </c>
      <c r="O172" s="8" t="str">
        <f>_xlfn.XLOOKUP(Table1[[#This Row],[Serial Number]],[1]Apr!$O:$O,[1]Apr!$F:$F)</f>
        <v>AVANI Hua Hin Resort &amp; Villas</v>
      </c>
      <c r="P172" s="8" t="s">
        <v>377</v>
      </c>
      <c r="Q172" s="46" t="s">
        <v>387</v>
      </c>
      <c r="R172" s="8" t="str">
        <f>Table1[[#This Row],[Collection City (Required)]]</f>
        <v>AVANI Hua Hin Resort &amp; Villas</v>
      </c>
      <c r="S172" s="8"/>
      <c r="T172" s="48">
        <v>46150</v>
      </c>
      <c r="U172" s="8"/>
      <c r="V172" s="16"/>
    </row>
    <row r="173" spans="1:22" ht="12" x14ac:dyDescent="0.15">
      <c r="A173" s="6" t="s">
        <v>16</v>
      </c>
      <c r="B173" s="7" t="s">
        <v>17</v>
      </c>
      <c r="C173" s="7" t="s">
        <v>18</v>
      </c>
      <c r="D173" s="7">
        <v>36</v>
      </c>
      <c r="E173" s="8" t="s">
        <v>228</v>
      </c>
      <c r="F173" s="9">
        <v>45047</v>
      </c>
      <c r="G173" s="9">
        <v>46142</v>
      </c>
      <c r="H173" s="8">
        <v>1</v>
      </c>
      <c r="I173" s="8"/>
      <c r="J173" s="14" t="s">
        <v>29</v>
      </c>
      <c r="K173" s="14" t="s">
        <v>20</v>
      </c>
      <c r="L173" s="14" t="s">
        <v>209</v>
      </c>
      <c r="M173" s="10"/>
      <c r="N173" s="8" t="s">
        <v>21</v>
      </c>
      <c r="O173" s="8" t="str">
        <f>_xlfn.XLOOKUP(Table1[[#This Row],[Serial Number]],[1]Apr!$O:$O,[1]Apr!$F:$F)</f>
        <v>AVANI Hua Hin Resort &amp; Villas</v>
      </c>
      <c r="P173" s="8" t="s">
        <v>377</v>
      </c>
      <c r="Q173" s="46" t="s">
        <v>387</v>
      </c>
      <c r="R173" s="8" t="str">
        <f>Table1[[#This Row],[Collection City (Required)]]</f>
        <v>AVANI Hua Hin Resort &amp; Villas</v>
      </c>
      <c r="S173" s="8"/>
      <c r="T173" s="48">
        <v>46150</v>
      </c>
      <c r="U173" s="8"/>
      <c r="V173" s="16"/>
    </row>
    <row r="174" spans="1:22" ht="12" x14ac:dyDescent="0.15">
      <c r="A174" s="6" t="s">
        <v>16</v>
      </c>
      <c r="B174" s="7" t="s">
        <v>17</v>
      </c>
      <c r="C174" s="7" t="s">
        <v>18</v>
      </c>
      <c r="D174" s="7">
        <v>36</v>
      </c>
      <c r="E174" s="8" t="s">
        <v>228</v>
      </c>
      <c r="F174" s="9">
        <v>45047</v>
      </c>
      <c r="G174" s="9">
        <v>46142</v>
      </c>
      <c r="H174" s="8">
        <v>1</v>
      </c>
      <c r="I174" s="8"/>
      <c r="J174" s="14" t="s">
        <v>29</v>
      </c>
      <c r="K174" s="14" t="s">
        <v>20</v>
      </c>
      <c r="L174" s="14" t="s">
        <v>210</v>
      </c>
      <c r="M174" s="10"/>
      <c r="N174" s="8" t="s">
        <v>21</v>
      </c>
      <c r="O174" s="8" t="str">
        <f>_xlfn.XLOOKUP(Table1[[#This Row],[Serial Number]],[1]Apr!$O:$O,[1]Apr!$F:$F)</f>
        <v>AVANI Hua Hin Resort &amp; Villas</v>
      </c>
      <c r="P174" s="8" t="s">
        <v>377</v>
      </c>
      <c r="Q174" s="46" t="s">
        <v>387</v>
      </c>
      <c r="R174" s="8" t="str">
        <f>Table1[[#This Row],[Collection City (Required)]]</f>
        <v>AVANI Hua Hin Resort &amp; Villas</v>
      </c>
      <c r="S174" s="8"/>
      <c r="T174" s="48">
        <v>46150</v>
      </c>
      <c r="U174" s="8"/>
      <c r="V174" s="16"/>
    </row>
    <row r="175" spans="1:22" ht="12" x14ac:dyDescent="0.15">
      <c r="A175" s="6" t="s">
        <v>16</v>
      </c>
      <c r="B175" s="7" t="s">
        <v>17</v>
      </c>
      <c r="C175" s="7" t="s">
        <v>18</v>
      </c>
      <c r="D175" s="7">
        <v>36</v>
      </c>
      <c r="E175" s="8" t="s">
        <v>228</v>
      </c>
      <c r="F175" s="9">
        <v>45047</v>
      </c>
      <c r="G175" s="9">
        <v>46142</v>
      </c>
      <c r="H175" s="8">
        <v>1</v>
      </c>
      <c r="I175" s="8"/>
      <c r="J175" s="14" t="s">
        <v>29</v>
      </c>
      <c r="K175" s="14" t="s">
        <v>20</v>
      </c>
      <c r="L175" s="14" t="s">
        <v>211</v>
      </c>
      <c r="M175" s="10"/>
      <c r="N175" s="8" t="s">
        <v>21</v>
      </c>
      <c r="O175" s="8" t="str">
        <f>_xlfn.XLOOKUP(Table1[[#This Row],[Serial Number]],[1]Apr!$O:$O,[1]Apr!$F:$F)</f>
        <v>AVANI Hua Hin Resort &amp; Villas</v>
      </c>
      <c r="P175" s="8" t="s">
        <v>377</v>
      </c>
      <c r="Q175" s="46" t="s">
        <v>387</v>
      </c>
      <c r="R175" s="8" t="str">
        <f>Table1[[#This Row],[Collection City (Required)]]</f>
        <v>AVANI Hua Hin Resort &amp; Villas</v>
      </c>
      <c r="S175" s="8"/>
      <c r="T175" s="48">
        <v>46150</v>
      </c>
      <c r="U175" s="8"/>
      <c r="V175" s="16"/>
    </row>
    <row r="176" spans="1:22" ht="12" x14ac:dyDescent="0.15">
      <c r="A176" s="6" t="s">
        <v>16</v>
      </c>
      <c r="B176" s="7" t="s">
        <v>17</v>
      </c>
      <c r="C176" s="7" t="s">
        <v>18</v>
      </c>
      <c r="D176" s="7">
        <v>36</v>
      </c>
      <c r="E176" s="8" t="s">
        <v>228</v>
      </c>
      <c r="F176" s="9">
        <v>45047</v>
      </c>
      <c r="G176" s="9">
        <v>46142</v>
      </c>
      <c r="H176" s="8">
        <v>1</v>
      </c>
      <c r="I176" s="8"/>
      <c r="J176" s="14" t="s">
        <v>29</v>
      </c>
      <c r="K176" s="14" t="s">
        <v>20</v>
      </c>
      <c r="L176" s="14" t="s">
        <v>212</v>
      </c>
      <c r="M176" s="10"/>
      <c r="N176" s="8" t="s">
        <v>21</v>
      </c>
      <c r="O176" s="8" t="str">
        <f>_xlfn.XLOOKUP(Table1[[#This Row],[Serial Number]],[1]Apr!$O:$O,[1]Apr!$F:$F)</f>
        <v>AVANI Hua Hin Resort &amp; Villas</v>
      </c>
      <c r="P176" s="8" t="s">
        <v>377</v>
      </c>
      <c r="Q176" s="46" t="s">
        <v>387</v>
      </c>
      <c r="R176" s="8" t="str">
        <f>Table1[[#This Row],[Collection City (Required)]]</f>
        <v>AVANI Hua Hin Resort &amp; Villas</v>
      </c>
      <c r="S176" s="8"/>
      <c r="T176" s="48">
        <v>46150</v>
      </c>
      <c r="U176" s="8"/>
      <c r="V176" s="16"/>
    </row>
    <row r="177" spans="1:22" ht="12" x14ac:dyDescent="0.15">
      <c r="A177" s="6" t="s">
        <v>16</v>
      </c>
      <c r="B177" s="7" t="s">
        <v>17</v>
      </c>
      <c r="C177" s="7" t="s">
        <v>18</v>
      </c>
      <c r="D177" s="7">
        <v>36</v>
      </c>
      <c r="E177" s="8" t="s">
        <v>228</v>
      </c>
      <c r="F177" s="9">
        <v>45047</v>
      </c>
      <c r="G177" s="9">
        <v>46142</v>
      </c>
      <c r="H177" s="8">
        <v>1</v>
      </c>
      <c r="I177" s="8"/>
      <c r="J177" s="14" t="s">
        <v>29</v>
      </c>
      <c r="K177" s="14" t="s">
        <v>20</v>
      </c>
      <c r="L177" s="14" t="s">
        <v>213</v>
      </c>
      <c r="M177" s="10"/>
      <c r="N177" s="8" t="s">
        <v>21</v>
      </c>
      <c r="O177" s="8" t="str">
        <f>_xlfn.XLOOKUP(Table1[[#This Row],[Serial Number]],[1]Apr!$O:$O,[1]Apr!$F:$F)</f>
        <v>AVANI Hua Hin Resort &amp; Villas</v>
      </c>
      <c r="P177" s="8" t="s">
        <v>377</v>
      </c>
      <c r="Q177" s="46" t="s">
        <v>387</v>
      </c>
      <c r="R177" s="8" t="str">
        <f>Table1[[#This Row],[Collection City (Required)]]</f>
        <v>AVANI Hua Hin Resort &amp; Villas</v>
      </c>
      <c r="S177" s="8"/>
      <c r="T177" s="48">
        <v>46150</v>
      </c>
      <c r="U177" s="8"/>
      <c r="V177" s="16"/>
    </row>
    <row r="178" spans="1:22" ht="12" x14ac:dyDescent="0.15">
      <c r="A178" s="6" t="s">
        <v>16</v>
      </c>
      <c r="B178" s="7" t="s">
        <v>17</v>
      </c>
      <c r="C178" s="7" t="s">
        <v>18</v>
      </c>
      <c r="D178" s="7">
        <v>36</v>
      </c>
      <c r="E178" s="8" t="s">
        <v>228</v>
      </c>
      <c r="F178" s="9">
        <v>45047</v>
      </c>
      <c r="G178" s="9">
        <v>46142</v>
      </c>
      <c r="H178" s="8">
        <v>1</v>
      </c>
      <c r="I178" s="8"/>
      <c r="J178" s="14" t="s">
        <v>29</v>
      </c>
      <c r="K178" s="14" t="s">
        <v>20</v>
      </c>
      <c r="L178" s="14" t="s">
        <v>214</v>
      </c>
      <c r="M178" s="10"/>
      <c r="N178" s="8" t="s">
        <v>21</v>
      </c>
      <c r="O178" s="8" t="str">
        <f>_xlfn.XLOOKUP(Table1[[#This Row],[Serial Number]],[1]Apr!$O:$O,[1]Apr!$F:$F)</f>
        <v>AVANI Hua Hin Resort &amp; Villas</v>
      </c>
      <c r="P178" s="8" t="s">
        <v>377</v>
      </c>
      <c r="Q178" s="46" t="s">
        <v>387</v>
      </c>
      <c r="R178" s="8" t="str">
        <f>Table1[[#This Row],[Collection City (Required)]]</f>
        <v>AVANI Hua Hin Resort &amp; Villas</v>
      </c>
      <c r="S178" s="8"/>
      <c r="T178" s="48">
        <v>46150</v>
      </c>
      <c r="U178" s="8"/>
      <c r="V178" s="16"/>
    </row>
    <row r="179" spans="1:22" ht="12" x14ac:dyDescent="0.15">
      <c r="A179" s="6" t="s">
        <v>16</v>
      </c>
      <c r="B179" s="7" t="s">
        <v>17</v>
      </c>
      <c r="C179" s="7" t="s">
        <v>18</v>
      </c>
      <c r="D179" s="7">
        <v>36</v>
      </c>
      <c r="E179" s="8" t="s">
        <v>228</v>
      </c>
      <c r="F179" s="9">
        <v>45047</v>
      </c>
      <c r="G179" s="9">
        <v>46142</v>
      </c>
      <c r="H179" s="8">
        <v>1</v>
      </c>
      <c r="I179" s="8"/>
      <c r="J179" s="14" t="s">
        <v>29</v>
      </c>
      <c r="K179" s="14" t="s">
        <v>20</v>
      </c>
      <c r="L179" s="14" t="s">
        <v>215</v>
      </c>
      <c r="M179" s="10"/>
      <c r="N179" s="8" t="s">
        <v>21</v>
      </c>
      <c r="O179" s="8" t="str">
        <f>_xlfn.XLOOKUP(Table1[[#This Row],[Serial Number]],[1]Apr!$O:$O,[1]Apr!$F:$F)</f>
        <v>AVANI Hua Hin Resort &amp; Villas</v>
      </c>
      <c r="P179" s="8" t="s">
        <v>377</v>
      </c>
      <c r="Q179" s="46" t="s">
        <v>387</v>
      </c>
      <c r="R179" s="8" t="str">
        <f>Table1[[#This Row],[Collection City (Required)]]</f>
        <v>AVANI Hua Hin Resort &amp; Villas</v>
      </c>
      <c r="S179" s="8"/>
      <c r="T179" s="48">
        <v>46150</v>
      </c>
      <c r="U179" s="8"/>
      <c r="V179" s="16"/>
    </row>
    <row r="180" spans="1:22" ht="12" x14ac:dyDescent="0.15">
      <c r="A180" s="6" t="s">
        <v>16</v>
      </c>
      <c r="B180" s="7" t="s">
        <v>17</v>
      </c>
      <c r="C180" s="7" t="s">
        <v>18</v>
      </c>
      <c r="D180" s="7">
        <v>36</v>
      </c>
      <c r="E180" s="8" t="s">
        <v>228</v>
      </c>
      <c r="F180" s="9">
        <v>45047</v>
      </c>
      <c r="G180" s="9">
        <v>46142</v>
      </c>
      <c r="H180" s="8">
        <v>1</v>
      </c>
      <c r="I180" s="8"/>
      <c r="J180" s="14" t="s">
        <v>29</v>
      </c>
      <c r="K180" s="14" t="s">
        <v>20</v>
      </c>
      <c r="L180" s="14" t="s">
        <v>216</v>
      </c>
      <c r="M180" s="10"/>
      <c r="N180" s="8" t="s">
        <v>21</v>
      </c>
      <c r="O180" s="8" t="str">
        <f>_xlfn.XLOOKUP(Table1[[#This Row],[Serial Number]],[1]Apr!$O:$O,[1]Apr!$F:$F)</f>
        <v>AVANI Hua Hin Resort &amp; Villas</v>
      </c>
      <c r="P180" s="8" t="s">
        <v>377</v>
      </c>
      <c r="Q180" s="46" t="s">
        <v>387</v>
      </c>
      <c r="R180" s="8" t="str">
        <f>Table1[[#This Row],[Collection City (Required)]]</f>
        <v>AVANI Hua Hin Resort &amp; Villas</v>
      </c>
      <c r="S180" s="8"/>
      <c r="T180" s="48">
        <v>46150</v>
      </c>
      <c r="U180" s="8"/>
      <c r="V180" s="16"/>
    </row>
    <row r="181" spans="1:22" ht="12" x14ac:dyDescent="0.15">
      <c r="A181" s="6" t="s">
        <v>16</v>
      </c>
      <c r="B181" s="7" t="s">
        <v>17</v>
      </c>
      <c r="C181" s="7" t="s">
        <v>18</v>
      </c>
      <c r="D181" s="7">
        <v>36</v>
      </c>
      <c r="E181" s="8" t="s">
        <v>228</v>
      </c>
      <c r="F181" s="9">
        <v>45047</v>
      </c>
      <c r="G181" s="9">
        <v>46142</v>
      </c>
      <c r="H181" s="8">
        <v>1</v>
      </c>
      <c r="I181" s="8"/>
      <c r="J181" s="14" t="s">
        <v>29</v>
      </c>
      <c r="K181" s="14" t="s">
        <v>20</v>
      </c>
      <c r="L181" s="14" t="s">
        <v>217</v>
      </c>
      <c r="M181" s="10"/>
      <c r="N181" s="8" t="s">
        <v>21</v>
      </c>
      <c r="O181" s="8" t="str">
        <f>_xlfn.XLOOKUP(Table1[[#This Row],[Serial Number]],[1]Apr!$O:$O,[1]Apr!$F:$F)</f>
        <v>AVANI Hua Hin Resort &amp; Villas</v>
      </c>
      <c r="P181" s="8" t="s">
        <v>377</v>
      </c>
      <c r="Q181" s="46" t="s">
        <v>387</v>
      </c>
      <c r="R181" s="8" t="str">
        <f>Table1[[#This Row],[Collection City (Required)]]</f>
        <v>AVANI Hua Hin Resort &amp; Villas</v>
      </c>
      <c r="S181" s="8"/>
      <c r="T181" s="48">
        <v>46150</v>
      </c>
      <c r="U181" s="8"/>
      <c r="V181" s="16"/>
    </row>
    <row r="182" spans="1:22" ht="12" x14ac:dyDescent="0.15">
      <c r="A182" s="6" t="s">
        <v>16</v>
      </c>
      <c r="B182" s="7" t="s">
        <v>17</v>
      </c>
      <c r="C182" s="7" t="s">
        <v>18</v>
      </c>
      <c r="D182" s="7">
        <v>36</v>
      </c>
      <c r="E182" s="8" t="s">
        <v>228</v>
      </c>
      <c r="F182" s="9">
        <v>45047</v>
      </c>
      <c r="G182" s="9">
        <v>46142</v>
      </c>
      <c r="H182" s="8">
        <v>1</v>
      </c>
      <c r="I182" s="8"/>
      <c r="J182" s="14" t="s">
        <v>29</v>
      </c>
      <c r="K182" s="14" t="s">
        <v>20</v>
      </c>
      <c r="L182" s="14" t="s">
        <v>218</v>
      </c>
      <c r="M182" s="10"/>
      <c r="N182" s="8" t="s">
        <v>21</v>
      </c>
      <c r="O182" s="8" t="str">
        <f>_xlfn.XLOOKUP(Table1[[#This Row],[Serial Number]],[1]Apr!$O:$O,[1]Apr!$F:$F)</f>
        <v>AVANI Hua Hin Resort &amp; Villas</v>
      </c>
      <c r="P182" s="8" t="s">
        <v>377</v>
      </c>
      <c r="Q182" s="46" t="s">
        <v>387</v>
      </c>
      <c r="R182" s="8" t="str">
        <f>Table1[[#This Row],[Collection City (Required)]]</f>
        <v>AVANI Hua Hin Resort &amp; Villas</v>
      </c>
      <c r="S182" s="8"/>
      <c r="T182" s="48">
        <v>46150</v>
      </c>
      <c r="U182" s="8"/>
      <c r="V182" s="16"/>
    </row>
    <row r="183" spans="1:22" ht="12" x14ac:dyDescent="0.15">
      <c r="A183" s="6" t="s">
        <v>16</v>
      </c>
      <c r="B183" s="7" t="s">
        <v>17</v>
      </c>
      <c r="C183" s="7" t="s">
        <v>18</v>
      </c>
      <c r="D183" s="7">
        <v>36</v>
      </c>
      <c r="E183" s="8" t="s">
        <v>228</v>
      </c>
      <c r="F183" s="9">
        <v>45047</v>
      </c>
      <c r="G183" s="9">
        <v>46142</v>
      </c>
      <c r="H183" s="8">
        <v>1</v>
      </c>
      <c r="I183" s="8"/>
      <c r="J183" s="14" t="s">
        <v>29</v>
      </c>
      <c r="K183" s="14" t="s">
        <v>20</v>
      </c>
      <c r="L183" s="14" t="s">
        <v>219</v>
      </c>
      <c r="M183" s="10"/>
      <c r="N183" s="8" t="s">
        <v>21</v>
      </c>
      <c r="O183" s="8" t="str">
        <f>_xlfn.XLOOKUP(Table1[[#This Row],[Serial Number]],[1]Apr!$O:$O,[1]Apr!$F:$F)</f>
        <v>AVANI Hua Hin Resort &amp; Villas</v>
      </c>
      <c r="P183" s="8" t="s">
        <v>377</v>
      </c>
      <c r="Q183" s="46" t="s">
        <v>387</v>
      </c>
      <c r="R183" s="8" t="str">
        <f>Table1[[#This Row],[Collection City (Required)]]</f>
        <v>AVANI Hua Hin Resort &amp; Villas</v>
      </c>
      <c r="S183" s="8"/>
      <c r="T183" s="48">
        <v>46150</v>
      </c>
      <c r="U183" s="8"/>
      <c r="V183" s="16"/>
    </row>
    <row r="184" spans="1:22" ht="12" x14ac:dyDescent="0.15">
      <c r="A184" s="6" t="s">
        <v>16</v>
      </c>
      <c r="B184" s="7" t="s">
        <v>17</v>
      </c>
      <c r="C184" s="7" t="s">
        <v>18</v>
      </c>
      <c r="D184" s="7">
        <v>36</v>
      </c>
      <c r="E184" s="8" t="s">
        <v>228</v>
      </c>
      <c r="F184" s="9">
        <v>45047</v>
      </c>
      <c r="G184" s="9">
        <v>46142</v>
      </c>
      <c r="H184" s="8">
        <v>1</v>
      </c>
      <c r="I184" s="8"/>
      <c r="J184" s="14" t="s">
        <v>29</v>
      </c>
      <c r="K184" s="14" t="s">
        <v>20</v>
      </c>
      <c r="L184" s="14" t="s">
        <v>220</v>
      </c>
      <c r="M184" s="10"/>
      <c r="N184" s="8" t="s">
        <v>21</v>
      </c>
      <c r="O184" s="8" t="str">
        <f>_xlfn.XLOOKUP(Table1[[#This Row],[Serial Number]],[1]Apr!$O:$O,[1]Apr!$F:$F)</f>
        <v>AVANI Hua Hin Resort &amp; Villas</v>
      </c>
      <c r="P184" s="8" t="s">
        <v>377</v>
      </c>
      <c r="Q184" s="46" t="s">
        <v>387</v>
      </c>
      <c r="R184" s="8" t="str">
        <f>Table1[[#This Row],[Collection City (Required)]]</f>
        <v>AVANI Hua Hin Resort &amp; Villas</v>
      </c>
      <c r="S184" s="8"/>
      <c r="T184" s="48">
        <v>46150</v>
      </c>
      <c r="U184" s="8"/>
      <c r="V184" s="16"/>
    </row>
    <row r="185" spans="1:22" ht="12" x14ac:dyDescent="0.15">
      <c r="A185" s="6" t="s">
        <v>16</v>
      </c>
      <c r="B185" s="7" t="s">
        <v>17</v>
      </c>
      <c r="C185" s="7" t="s">
        <v>18</v>
      </c>
      <c r="D185" s="7">
        <v>36</v>
      </c>
      <c r="E185" s="8" t="s">
        <v>228</v>
      </c>
      <c r="F185" s="9">
        <v>45047</v>
      </c>
      <c r="G185" s="9">
        <v>46142</v>
      </c>
      <c r="H185" s="8">
        <v>1</v>
      </c>
      <c r="I185" s="8"/>
      <c r="J185" s="14" t="s">
        <v>29</v>
      </c>
      <c r="K185" s="14" t="s">
        <v>20</v>
      </c>
      <c r="L185" s="14" t="s">
        <v>221</v>
      </c>
      <c r="M185" s="10"/>
      <c r="N185" s="8" t="s">
        <v>21</v>
      </c>
      <c r="O185" s="8" t="str">
        <f>_xlfn.XLOOKUP(Table1[[#This Row],[Serial Number]],[1]Apr!$O:$O,[1]Apr!$F:$F)</f>
        <v>AVANI Hua Hin Resort &amp; Villas</v>
      </c>
      <c r="P185" s="8" t="s">
        <v>377</v>
      </c>
      <c r="Q185" s="46" t="s">
        <v>387</v>
      </c>
      <c r="R185" s="8" t="str">
        <f>Table1[[#This Row],[Collection City (Required)]]</f>
        <v>AVANI Hua Hin Resort &amp; Villas</v>
      </c>
      <c r="S185" s="8"/>
      <c r="T185" s="48">
        <v>46150</v>
      </c>
      <c r="U185" s="8"/>
      <c r="V185" s="16"/>
    </row>
    <row r="186" spans="1:22" ht="12" x14ac:dyDescent="0.15">
      <c r="A186" s="6" t="s">
        <v>16</v>
      </c>
      <c r="B186" s="7" t="s">
        <v>17</v>
      </c>
      <c r="C186" s="7" t="s">
        <v>18</v>
      </c>
      <c r="D186" s="7">
        <v>36</v>
      </c>
      <c r="E186" s="8" t="s">
        <v>228</v>
      </c>
      <c r="F186" s="9">
        <v>45047</v>
      </c>
      <c r="G186" s="9">
        <v>46142</v>
      </c>
      <c r="H186" s="8">
        <v>1</v>
      </c>
      <c r="I186" s="8"/>
      <c r="J186" s="14" t="s">
        <v>35</v>
      </c>
      <c r="K186" s="14" t="s">
        <v>20</v>
      </c>
      <c r="L186" s="14" t="s">
        <v>222</v>
      </c>
      <c r="M186" s="10"/>
      <c r="N186" s="8" t="s">
        <v>21</v>
      </c>
      <c r="O186" s="8" t="str">
        <f>_xlfn.XLOOKUP(Table1[[#This Row],[Serial Number]],[1]Apr!$O:$O,[1]Apr!$F:$F)</f>
        <v>Art of Baking Co.,Ltd</v>
      </c>
      <c r="P186" s="8" t="s">
        <v>377</v>
      </c>
      <c r="Q186" s="46" t="s">
        <v>390</v>
      </c>
      <c r="R186" s="8" t="str">
        <f>Table1[[#This Row],[Collection City (Required)]]</f>
        <v>Art of Baking Co.,Ltd</v>
      </c>
      <c r="S186" s="8" t="str">
        <f>_xlfn.XLOOKUP(Table1[[#This Row],[Serial Number]],[2]Summary!$B:$B,[2]Summary!$I:$I,0)</f>
        <v>OK</v>
      </c>
      <c r="T186" s="48">
        <v>46149</v>
      </c>
      <c r="U186" s="8"/>
      <c r="V186" s="16"/>
    </row>
    <row r="187" spans="1:22" ht="12" x14ac:dyDescent="0.15">
      <c r="A187" s="6" t="s">
        <v>16</v>
      </c>
      <c r="B187" s="7" t="s">
        <v>17</v>
      </c>
      <c r="C187" s="7" t="s">
        <v>18</v>
      </c>
      <c r="D187" s="7">
        <v>36</v>
      </c>
      <c r="E187" s="8" t="s">
        <v>228</v>
      </c>
      <c r="F187" s="9">
        <v>45047</v>
      </c>
      <c r="G187" s="9">
        <v>46142</v>
      </c>
      <c r="H187" s="8">
        <v>1</v>
      </c>
      <c r="I187" s="8"/>
      <c r="J187" s="14" t="s">
        <v>35</v>
      </c>
      <c r="K187" s="14" t="s">
        <v>20</v>
      </c>
      <c r="L187" s="14" t="s">
        <v>223</v>
      </c>
      <c r="M187" s="10"/>
      <c r="N187" s="8" t="s">
        <v>21</v>
      </c>
      <c r="O187" s="8" t="str">
        <f>_xlfn.XLOOKUP(Table1[[#This Row],[Serial Number]],[1]Apr!$O:$O,[1]Apr!$F:$F)</f>
        <v>Art of Baking Co.,Ltd</v>
      </c>
      <c r="P187" s="8" t="s">
        <v>377</v>
      </c>
      <c r="Q187" s="46" t="s">
        <v>390</v>
      </c>
      <c r="R187" s="8" t="str">
        <f>Table1[[#This Row],[Collection City (Required)]]</f>
        <v>Art of Baking Co.,Ltd</v>
      </c>
      <c r="S187" s="8" t="str">
        <f>_xlfn.XLOOKUP(Table1[[#This Row],[Serial Number]],[2]Summary!$B:$B,[2]Summary!$I:$I,0)</f>
        <v>OK</v>
      </c>
      <c r="T187" s="48">
        <v>46149</v>
      </c>
      <c r="U187" s="8"/>
      <c r="V187" s="16"/>
    </row>
    <row r="188" spans="1:22" ht="12" x14ac:dyDescent="0.15">
      <c r="A188" s="6" t="s">
        <v>16</v>
      </c>
      <c r="B188" s="7" t="s">
        <v>17</v>
      </c>
      <c r="C188" s="7" t="s">
        <v>18</v>
      </c>
      <c r="D188" s="7">
        <v>36</v>
      </c>
      <c r="E188" s="8" t="s">
        <v>228</v>
      </c>
      <c r="F188" s="9">
        <v>45047</v>
      </c>
      <c r="G188" s="9">
        <v>46142</v>
      </c>
      <c r="H188" s="8">
        <v>1</v>
      </c>
      <c r="I188" s="8"/>
      <c r="J188" s="14" t="s">
        <v>35</v>
      </c>
      <c r="K188" s="14" t="s">
        <v>20</v>
      </c>
      <c r="L188" s="14" t="s">
        <v>224</v>
      </c>
      <c r="M188" s="10"/>
      <c r="N188" s="8" t="s">
        <v>21</v>
      </c>
      <c r="O188" s="8" t="str">
        <f>_xlfn.XLOOKUP(Table1[[#This Row],[Serial Number]],[1]Apr!$O:$O,[1]Apr!$F:$F)</f>
        <v>Art of Baking Co.,Ltd</v>
      </c>
      <c r="P188" s="8" t="s">
        <v>377</v>
      </c>
      <c r="Q188" s="46" t="s">
        <v>390</v>
      </c>
      <c r="R188" s="8" t="str">
        <f>Table1[[#This Row],[Collection City (Required)]]</f>
        <v>Art of Baking Co.,Ltd</v>
      </c>
      <c r="S188" s="8" t="str">
        <f>_xlfn.XLOOKUP(Table1[[#This Row],[Serial Number]],[2]Summary!$B:$B,[2]Summary!$I:$I,0)</f>
        <v>OK</v>
      </c>
      <c r="T188" s="48">
        <v>46149</v>
      </c>
      <c r="U188" s="8"/>
      <c r="V188" s="16"/>
    </row>
    <row r="189" spans="1:22" ht="12" x14ac:dyDescent="0.15">
      <c r="A189" s="6" t="s">
        <v>16</v>
      </c>
      <c r="B189" s="7" t="s">
        <v>17</v>
      </c>
      <c r="C189" s="7" t="s">
        <v>18</v>
      </c>
      <c r="D189" s="7">
        <v>36</v>
      </c>
      <c r="E189" s="8" t="s">
        <v>228</v>
      </c>
      <c r="F189" s="9">
        <v>45047</v>
      </c>
      <c r="G189" s="9">
        <v>46142</v>
      </c>
      <c r="H189" s="8">
        <v>1</v>
      </c>
      <c r="I189" s="8"/>
      <c r="J189" s="14" t="s">
        <v>35</v>
      </c>
      <c r="K189" s="14" t="s">
        <v>20</v>
      </c>
      <c r="L189" s="14" t="s">
        <v>225</v>
      </c>
      <c r="M189" s="10"/>
      <c r="N189" s="8" t="s">
        <v>21</v>
      </c>
      <c r="O189" s="8" t="str">
        <f>_xlfn.XLOOKUP(Table1[[#This Row],[Serial Number]],[1]Apr!$O:$O,[1]Apr!$F:$F)</f>
        <v>Art of Baking Co.,Ltd</v>
      </c>
      <c r="P189" s="8" t="s">
        <v>377</v>
      </c>
      <c r="Q189" s="46" t="s">
        <v>390</v>
      </c>
      <c r="R189" s="8" t="str">
        <f>Table1[[#This Row],[Collection City (Required)]]</f>
        <v>Art of Baking Co.,Ltd</v>
      </c>
      <c r="S189" s="8" t="str">
        <f>_xlfn.XLOOKUP(Table1[[#This Row],[Serial Number]],[2]Summary!$B:$B,[2]Summary!$I:$I,0)</f>
        <v>OK</v>
      </c>
      <c r="T189" s="48">
        <v>46149</v>
      </c>
      <c r="U189" s="8"/>
      <c r="V189" s="16"/>
    </row>
    <row r="190" spans="1:22" ht="12" x14ac:dyDescent="0.15">
      <c r="A190" s="6" t="s">
        <v>16</v>
      </c>
      <c r="B190" s="7" t="s">
        <v>17</v>
      </c>
      <c r="C190" s="7" t="s">
        <v>18</v>
      </c>
      <c r="D190" s="7">
        <v>36</v>
      </c>
      <c r="E190" s="8" t="s">
        <v>228</v>
      </c>
      <c r="F190" s="9">
        <v>45047</v>
      </c>
      <c r="G190" s="9">
        <v>46142</v>
      </c>
      <c r="H190" s="8">
        <v>1</v>
      </c>
      <c r="I190" s="8"/>
      <c r="J190" s="14" t="s">
        <v>35</v>
      </c>
      <c r="K190" s="14" t="s">
        <v>20</v>
      </c>
      <c r="L190" s="14" t="s">
        <v>226</v>
      </c>
      <c r="M190" s="10"/>
      <c r="N190" s="8" t="s">
        <v>21</v>
      </c>
      <c r="O190" s="8" t="str">
        <f>_xlfn.XLOOKUP(Table1[[#This Row],[Serial Number]],[1]Apr!$O:$O,[1]Apr!$F:$F)</f>
        <v>SCOMADI (Thailand) Co., Ltd.</v>
      </c>
      <c r="P190" s="8" t="s">
        <v>377</v>
      </c>
      <c r="Q190" s="46" t="s">
        <v>387</v>
      </c>
      <c r="R190" s="8" t="str">
        <f>Table1[[#This Row],[Collection City (Required)]]</f>
        <v>SCOMADI (Thailand) Co., Ltd.</v>
      </c>
      <c r="S190" s="8"/>
      <c r="T190" s="48">
        <v>46140</v>
      </c>
      <c r="U190" s="8"/>
      <c r="V190" s="16"/>
    </row>
    <row r="191" spans="1:22" ht="12" x14ac:dyDescent="0.15">
      <c r="A191" s="6" t="s">
        <v>16</v>
      </c>
      <c r="B191" s="7" t="s">
        <v>17</v>
      </c>
      <c r="C191" s="7" t="s">
        <v>18</v>
      </c>
      <c r="D191" s="18">
        <v>36</v>
      </c>
      <c r="E191" s="19" t="s">
        <v>228</v>
      </c>
      <c r="F191" s="20">
        <v>45047</v>
      </c>
      <c r="G191" s="20">
        <v>46142</v>
      </c>
      <c r="H191" s="8">
        <v>1</v>
      </c>
      <c r="I191" s="19"/>
      <c r="J191" s="21" t="s">
        <v>35</v>
      </c>
      <c r="K191" s="21" t="s">
        <v>20</v>
      </c>
      <c r="L191" s="21" t="s">
        <v>227</v>
      </c>
      <c r="M191" s="22"/>
      <c r="N191" s="8" t="s">
        <v>21</v>
      </c>
      <c r="O191" s="19" t="str">
        <f>_xlfn.XLOOKUP(Table1[[#This Row],[Serial Number]],[1]Apr!$O:$O,[1]Apr!$F:$F)</f>
        <v>SCOMADI (Thailand) Co., Ltd.</v>
      </c>
      <c r="P191" s="8" t="s">
        <v>377</v>
      </c>
      <c r="Q191" s="46" t="s">
        <v>387</v>
      </c>
      <c r="R191" s="8" t="str">
        <f>Table1[[#This Row],[Collection City (Required)]]</f>
        <v>SCOMADI (Thailand) Co., Ltd.</v>
      </c>
      <c r="S191" s="8"/>
      <c r="T191" s="50">
        <v>46140</v>
      </c>
      <c r="U191" s="19"/>
      <c r="V191" s="23"/>
    </row>
    <row r="192" spans="1:22" ht="12" x14ac:dyDescent="0.15">
      <c r="A192" s="6" t="s">
        <v>16</v>
      </c>
      <c r="B192" s="7" t="s">
        <v>17</v>
      </c>
      <c r="C192" s="7" t="s">
        <v>18</v>
      </c>
      <c r="D192" s="7">
        <v>36</v>
      </c>
      <c r="E192" s="8" t="s">
        <v>242</v>
      </c>
      <c r="F192" s="9">
        <v>45017</v>
      </c>
      <c r="G192" s="9">
        <f t="shared" ref="G192:G226" si="0">EDATE(F192,36)-1</f>
        <v>46112</v>
      </c>
      <c r="H192" s="8">
        <v>1</v>
      </c>
      <c r="I192" s="8" t="s">
        <v>27</v>
      </c>
      <c r="J192" s="14" t="s">
        <v>28</v>
      </c>
      <c r="K192" s="14" t="s">
        <v>20</v>
      </c>
      <c r="L192" s="14" t="s">
        <v>243</v>
      </c>
      <c r="M192" s="10">
        <v>918.72000000000014</v>
      </c>
      <c r="N192" s="8" t="s">
        <v>21</v>
      </c>
      <c r="O192" s="8" t="s">
        <v>232</v>
      </c>
      <c r="P192" s="8" t="s">
        <v>377</v>
      </c>
      <c r="Q192" s="46" t="s">
        <v>390</v>
      </c>
      <c r="R192" s="8" t="str">
        <f>Table1[[#This Row],[Collection City (Required)]]</f>
        <v>Art of Baking Co.,Ltd</v>
      </c>
      <c r="S192" s="8" t="str">
        <f>_xlfn.XLOOKUP(Table1[[#This Row],[Serial Number]],[2]Summary!$B:$B,[2]Summary!$I:$I,0)</f>
        <v>No Mouse</v>
      </c>
      <c r="T192" s="48">
        <v>46149</v>
      </c>
      <c r="U192" s="8"/>
      <c r="V192" s="16"/>
    </row>
    <row r="193" spans="1:22" ht="12" x14ac:dyDescent="0.15">
      <c r="A193" s="6" t="s">
        <v>16</v>
      </c>
      <c r="B193" s="7" t="s">
        <v>17</v>
      </c>
      <c r="C193" s="7" t="s">
        <v>18</v>
      </c>
      <c r="D193" s="7">
        <v>36</v>
      </c>
      <c r="E193" s="8" t="s">
        <v>242</v>
      </c>
      <c r="F193" s="9">
        <v>45017</v>
      </c>
      <c r="G193" s="9">
        <f t="shared" si="0"/>
        <v>46112</v>
      </c>
      <c r="H193" s="8">
        <v>1</v>
      </c>
      <c r="I193" s="8" t="s">
        <v>27</v>
      </c>
      <c r="J193" s="14" t="s">
        <v>28</v>
      </c>
      <c r="K193" s="14" t="s">
        <v>20</v>
      </c>
      <c r="L193" s="14" t="s">
        <v>244</v>
      </c>
      <c r="M193" s="10">
        <v>918.72000000000014</v>
      </c>
      <c r="N193" s="8" t="s">
        <v>21</v>
      </c>
      <c r="O193" s="8" t="s">
        <v>232</v>
      </c>
      <c r="P193" s="8" t="s">
        <v>377</v>
      </c>
      <c r="Q193" s="46" t="s">
        <v>390</v>
      </c>
      <c r="R193" s="8" t="str">
        <f>Table1[[#This Row],[Collection City (Required)]]</f>
        <v>Art of Baking Co.,Ltd</v>
      </c>
      <c r="S193" s="8" t="str">
        <f>_xlfn.XLOOKUP(Table1[[#This Row],[Serial Number]],[2]Summary!$B:$B,[2]Summary!$I:$I,0)</f>
        <v>No Mouse</v>
      </c>
      <c r="T193" s="48">
        <v>46149</v>
      </c>
      <c r="U193" s="8"/>
      <c r="V193" s="16"/>
    </row>
    <row r="194" spans="1:22" ht="12" x14ac:dyDescent="0.15">
      <c r="A194" s="6" t="s">
        <v>16</v>
      </c>
      <c r="B194" s="7" t="s">
        <v>17</v>
      </c>
      <c r="C194" s="7" t="s">
        <v>18</v>
      </c>
      <c r="D194" s="7">
        <v>36</v>
      </c>
      <c r="E194" s="8" t="s">
        <v>242</v>
      </c>
      <c r="F194" s="9">
        <v>45017</v>
      </c>
      <c r="G194" s="9">
        <f t="shared" si="0"/>
        <v>46112</v>
      </c>
      <c r="H194" s="8">
        <v>1</v>
      </c>
      <c r="I194" s="8" t="s">
        <v>27</v>
      </c>
      <c r="J194" s="14" t="s">
        <v>28</v>
      </c>
      <c r="K194" s="14" t="s">
        <v>20</v>
      </c>
      <c r="L194" s="14" t="s">
        <v>245</v>
      </c>
      <c r="M194" s="10">
        <v>918.72000000000014</v>
      </c>
      <c r="N194" s="8" t="s">
        <v>21</v>
      </c>
      <c r="O194" s="8" t="s">
        <v>232</v>
      </c>
      <c r="P194" s="8" t="s">
        <v>377</v>
      </c>
      <c r="Q194" s="46" t="s">
        <v>390</v>
      </c>
      <c r="R194" s="8" t="str">
        <f>Table1[[#This Row],[Collection City (Required)]]</f>
        <v>Art of Baking Co.,Ltd</v>
      </c>
      <c r="S194" s="8" t="str">
        <f>_xlfn.XLOOKUP(Table1[[#This Row],[Serial Number]],[2]Summary!$B:$B,[2]Summary!$I:$I,0)</f>
        <v>OK</v>
      </c>
      <c r="T194" s="48">
        <v>46149</v>
      </c>
      <c r="U194" s="8"/>
      <c r="V194" s="16"/>
    </row>
    <row r="195" spans="1:22" ht="12" x14ac:dyDescent="0.15">
      <c r="A195" s="6" t="s">
        <v>16</v>
      </c>
      <c r="B195" s="7" t="s">
        <v>17</v>
      </c>
      <c r="C195" s="7" t="s">
        <v>18</v>
      </c>
      <c r="D195" s="7">
        <v>36</v>
      </c>
      <c r="E195" s="8" t="s">
        <v>242</v>
      </c>
      <c r="F195" s="9">
        <v>45017</v>
      </c>
      <c r="G195" s="9">
        <f t="shared" si="0"/>
        <v>46112</v>
      </c>
      <c r="H195" s="8">
        <v>1</v>
      </c>
      <c r="I195" s="8" t="s">
        <v>27</v>
      </c>
      <c r="J195" s="14" t="s">
        <v>28</v>
      </c>
      <c r="K195" s="14" t="s">
        <v>20</v>
      </c>
      <c r="L195" s="14" t="s">
        <v>246</v>
      </c>
      <c r="M195" s="10">
        <v>918.72000000000014</v>
      </c>
      <c r="N195" s="8" t="s">
        <v>21</v>
      </c>
      <c r="O195" s="8" t="s">
        <v>232</v>
      </c>
      <c r="P195" s="8" t="s">
        <v>377</v>
      </c>
      <c r="Q195" s="46" t="s">
        <v>390</v>
      </c>
      <c r="R195" s="8" t="str">
        <f>Table1[[#This Row],[Collection City (Required)]]</f>
        <v>Art of Baking Co.,Ltd</v>
      </c>
      <c r="S195" s="8" t="str">
        <f>_xlfn.XLOOKUP(Table1[[#This Row],[Serial Number]],[2]Summary!$B:$B,[2]Summary!$I:$I,0)</f>
        <v>OK</v>
      </c>
      <c r="T195" s="48">
        <v>46149</v>
      </c>
      <c r="U195" s="8"/>
      <c r="V195" s="16"/>
    </row>
    <row r="196" spans="1:22" ht="12" x14ac:dyDescent="0.15">
      <c r="A196" s="6" t="s">
        <v>16</v>
      </c>
      <c r="B196" s="7" t="s">
        <v>17</v>
      </c>
      <c r="C196" s="7" t="s">
        <v>18</v>
      </c>
      <c r="D196" s="7">
        <v>36</v>
      </c>
      <c r="E196" s="8" t="s">
        <v>242</v>
      </c>
      <c r="F196" s="9">
        <v>45017</v>
      </c>
      <c r="G196" s="9">
        <f t="shared" si="0"/>
        <v>46112</v>
      </c>
      <c r="H196" s="8">
        <v>1</v>
      </c>
      <c r="I196" s="8" t="s">
        <v>27</v>
      </c>
      <c r="J196" s="14" t="s">
        <v>28</v>
      </c>
      <c r="K196" s="14" t="s">
        <v>20</v>
      </c>
      <c r="L196" s="14" t="s">
        <v>247</v>
      </c>
      <c r="M196" s="10">
        <v>918.72000000000014</v>
      </c>
      <c r="N196" s="8" t="s">
        <v>21</v>
      </c>
      <c r="O196" s="8" t="s">
        <v>232</v>
      </c>
      <c r="P196" s="8" t="s">
        <v>377</v>
      </c>
      <c r="Q196" s="46" t="s">
        <v>390</v>
      </c>
      <c r="R196" s="8" t="str">
        <f>Table1[[#This Row],[Collection City (Required)]]</f>
        <v>Art of Baking Co.,Ltd</v>
      </c>
      <c r="S196" s="8" t="str">
        <f>_xlfn.XLOOKUP(Table1[[#This Row],[Serial Number]],[2]Summary!$B:$B,[2]Summary!$I:$I,0)</f>
        <v>OK</v>
      </c>
      <c r="T196" s="48">
        <v>46149</v>
      </c>
      <c r="U196" s="8"/>
      <c r="V196" s="16"/>
    </row>
    <row r="197" spans="1:22" ht="12" x14ac:dyDescent="0.15">
      <c r="A197" s="6" t="s">
        <v>16</v>
      </c>
      <c r="B197" s="7" t="s">
        <v>17</v>
      </c>
      <c r="C197" s="7" t="s">
        <v>18</v>
      </c>
      <c r="D197" s="7">
        <v>36</v>
      </c>
      <c r="E197" s="8" t="s">
        <v>242</v>
      </c>
      <c r="F197" s="9">
        <v>45017</v>
      </c>
      <c r="G197" s="9">
        <f t="shared" si="0"/>
        <v>46112</v>
      </c>
      <c r="H197" s="8">
        <v>1</v>
      </c>
      <c r="I197" s="8" t="s">
        <v>27</v>
      </c>
      <c r="J197" s="14" t="s">
        <v>28</v>
      </c>
      <c r="K197" s="14" t="s">
        <v>20</v>
      </c>
      <c r="L197" s="14" t="s">
        <v>248</v>
      </c>
      <c r="M197" s="10">
        <v>918.72000000000014</v>
      </c>
      <c r="N197" s="8" t="s">
        <v>21</v>
      </c>
      <c r="O197" s="8" t="s">
        <v>232</v>
      </c>
      <c r="P197" s="8" t="s">
        <v>377</v>
      </c>
      <c r="Q197" s="46" t="s">
        <v>390</v>
      </c>
      <c r="R197" s="8" t="str">
        <f>Table1[[#This Row],[Collection City (Required)]]</f>
        <v>Art of Baking Co.,Ltd</v>
      </c>
      <c r="S197" s="8" t="str">
        <f>_xlfn.XLOOKUP(Table1[[#This Row],[Serial Number]],[2]Summary!$B:$B,[2]Summary!$I:$I,0)</f>
        <v>OK</v>
      </c>
      <c r="T197" s="48">
        <v>46149</v>
      </c>
      <c r="U197" s="8"/>
      <c r="V197" s="16"/>
    </row>
    <row r="198" spans="1:22" ht="12" x14ac:dyDescent="0.15">
      <c r="A198" s="6" t="s">
        <v>16</v>
      </c>
      <c r="B198" s="7" t="s">
        <v>17</v>
      </c>
      <c r="C198" s="7" t="s">
        <v>18</v>
      </c>
      <c r="D198" s="7">
        <v>36</v>
      </c>
      <c r="E198" s="8" t="s">
        <v>242</v>
      </c>
      <c r="F198" s="9">
        <v>45017</v>
      </c>
      <c r="G198" s="9">
        <f t="shared" si="0"/>
        <v>46112</v>
      </c>
      <c r="H198" s="8">
        <v>1</v>
      </c>
      <c r="I198" s="8" t="s">
        <v>27</v>
      </c>
      <c r="J198" s="14" t="s">
        <v>28</v>
      </c>
      <c r="K198" s="14" t="s">
        <v>20</v>
      </c>
      <c r="L198" s="14" t="s">
        <v>249</v>
      </c>
      <c r="M198" s="10">
        <v>918.72000000000014</v>
      </c>
      <c r="N198" s="8" t="s">
        <v>21</v>
      </c>
      <c r="O198" s="8" t="s">
        <v>232</v>
      </c>
      <c r="P198" s="8" t="s">
        <v>377</v>
      </c>
      <c r="Q198" s="46" t="s">
        <v>390</v>
      </c>
      <c r="R198" s="8" t="str">
        <f>Table1[[#This Row],[Collection City (Required)]]</f>
        <v>Art of Baking Co.,Ltd</v>
      </c>
      <c r="S198" s="8" t="str">
        <f>_xlfn.XLOOKUP(Table1[[#This Row],[Serial Number]],[2]Summary!$B:$B,[2]Summary!$I:$I,0)</f>
        <v>OK</v>
      </c>
      <c r="T198" s="48">
        <v>46149</v>
      </c>
      <c r="U198" s="8"/>
      <c r="V198" s="16"/>
    </row>
    <row r="199" spans="1:22" ht="12" x14ac:dyDescent="0.15">
      <c r="A199" s="6" t="s">
        <v>16</v>
      </c>
      <c r="B199" s="7" t="s">
        <v>17</v>
      </c>
      <c r="C199" s="7" t="s">
        <v>18</v>
      </c>
      <c r="D199" s="7">
        <v>36</v>
      </c>
      <c r="E199" s="8" t="s">
        <v>242</v>
      </c>
      <c r="F199" s="9">
        <v>45017</v>
      </c>
      <c r="G199" s="9">
        <f t="shared" si="0"/>
        <v>46112</v>
      </c>
      <c r="H199" s="8">
        <v>1</v>
      </c>
      <c r="I199" s="8" t="s">
        <v>27</v>
      </c>
      <c r="J199" s="14" t="s">
        <v>28</v>
      </c>
      <c r="K199" s="14" t="s">
        <v>20</v>
      </c>
      <c r="L199" s="14" t="s">
        <v>250</v>
      </c>
      <c r="M199" s="10">
        <v>918.72000000000014</v>
      </c>
      <c r="N199" s="8" t="s">
        <v>21</v>
      </c>
      <c r="O199" s="8" t="s">
        <v>232</v>
      </c>
      <c r="P199" s="8" t="s">
        <v>377</v>
      </c>
      <c r="Q199" s="46" t="s">
        <v>390</v>
      </c>
      <c r="R199" s="8" t="str">
        <f>Table1[[#This Row],[Collection City (Required)]]</f>
        <v>Art of Baking Co.,Ltd</v>
      </c>
      <c r="S199" s="8" t="str">
        <f>_xlfn.XLOOKUP(Table1[[#This Row],[Serial Number]],[2]Summary!$B:$B,[2]Summary!$I:$I,0)</f>
        <v>No Mouse</v>
      </c>
      <c r="T199" s="48">
        <v>46149</v>
      </c>
      <c r="U199" s="8"/>
      <c r="V199" s="16"/>
    </row>
    <row r="200" spans="1:22" ht="12" x14ac:dyDescent="0.15">
      <c r="A200" s="6" t="s">
        <v>16</v>
      </c>
      <c r="B200" s="7" t="s">
        <v>17</v>
      </c>
      <c r="C200" s="7" t="s">
        <v>18</v>
      </c>
      <c r="D200" s="7">
        <v>36</v>
      </c>
      <c r="E200" s="8" t="s">
        <v>242</v>
      </c>
      <c r="F200" s="9">
        <v>45017</v>
      </c>
      <c r="G200" s="9">
        <f t="shared" si="0"/>
        <v>46112</v>
      </c>
      <c r="H200" s="8">
        <v>1</v>
      </c>
      <c r="I200" s="8" t="s">
        <v>27</v>
      </c>
      <c r="J200" s="14" t="s">
        <v>28</v>
      </c>
      <c r="K200" s="14" t="s">
        <v>20</v>
      </c>
      <c r="L200" s="14" t="s">
        <v>251</v>
      </c>
      <c r="M200" s="10">
        <v>918.72000000000014</v>
      </c>
      <c r="N200" s="8" t="s">
        <v>21</v>
      </c>
      <c r="O200" s="8" t="s">
        <v>232</v>
      </c>
      <c r="P200" s="8" t="s">
        <v>377</v>
      </c>
      <c r="Q200" s="46" t="s">
        <v>390</v>
      </c>
      <c r="R200" s="8" t="str">
        <f>Table1[[#This Row],[Collection City (Required)]]</f>
        <v>Art of Baking Co.,Ltd</v>
      </c>
      <c r="S200" s="8" t="str">
        <f>_xlfn.XLOOKUP(Table1[[#This Row],[Serial Number]],[2]Summary!$B:$B,[2]Summary!$I:$I,0)</f>
        <v>OK</v>
      </c>
      <c r="T200" s="48">
        <v>46149</v>
      </c>
      <c r="U200" s="8"/>
      <c r="V200" s="16"/>
    </row>
    <row r="201" spans="1:22" ht="12" x14ac:dyDescent="0.15">
      <c r="A201" s="6" t="s">
        <v>16</v>
      </c>
      <c r="B201" s="7" t="s">
        <v>17</v>
      </c>
      <c r="C201" s="7" t="s">
        <v>18</v>
      </c>
      <c r="D201" s="7">
        <v>36</v>
      </c>
      <c r="E201" s="8" t="s">
        <v>242</v>
      </c>
      <c r="F201" s="9">
        <v>45017</v>
      </c>
      <c r="G201" s="9">
        <f t="shared" si="0"/>
        <v>46112</v>
      </c>
      <c r="H201" s="8">
        <v>1</v>
      </c>
      <c r="I201" s="8" t="s">
        <v>27</v>
      </c>
      <c r="J201" s="14" t="s">
        <v>28</v>
      </c>
      <c r="K201" s="14" t="s">
        <v>20</v>
      </c>
      <c r="L201" s="14" t="s">
        <v>252</v>
      </c>
      <c r="M201" s="10">
        <v>918.72000000000014</v>
      </c>
      <c r="N201" s="8" t="s">
        <v>21</v>
      </c>
      <c r="O201" s="8" t="s">
        <v>232</v>
      </c>
      <c r="P201" s="8" t="s">
        <v>377</v>
      </c>
      <c r="Q201" s="46" t="s">
        <v>390</v>
      </c>
      <c r="R201" s="8" t="str">
        <f>Table1[[#This Row],[Collection City (Required)]]</f>
        <v>Art of Baking Co.,Ltd</v>
      </c>
      <c r="S201" s="8" t="str">
        <f>_xlfn.XLOOKUP(Table1[[#This Row],[Serial Number]],[2]Summary!$B:$B,[2]Summary!$I:$I,0)</f>
        <v>No Bag, No Adapter</v>
      </c>
      <c r="T201" s="48">
        <v>46149</v>
      </c>
      <c r="U201" s="8"/>
      <c r="V201" s="16"/>
    </row>
    <row r="202" spans="1:22" ht="12" x14ac:dyDescent="0.15">
      <c r="A202" s="6" t="s">
        <v>16</v>
      </c>
      <c r="B202" s="7" t="s">
        <v>17</v>
      </c>
      <c r="C202" s="7" t="s">
        <v>18</v>
      </c>
      <c r="D202" s="7">
        <v>36</v>
      </c>
      <c r="E202" s="8" t="s">
        <v>242</v>
      </c>
      <c r="F202" s="9">
        <v>45017</v>
      </c>
      <c r="G202" s="9">
        <f t="shared" si="0"/>
        <v>46112</v>
      </c>
      <c r="H202" s="8">
        <v>1</v>
      </c>
      <c r="I202" s="8" t="s">
        <v>27</v>
      </c>
      <c r="J202" s="14" t="s">
        <v>28</v>
      </c>
      <c r="K202" s="14" t="s">
        <v>20</v>
      </c>
      <c r="L202" s="14" t="s">
        <v>253</v>
      </c>
      <c r="M202" s="10">
        <v>918.72000000000014</v>
      </c>
      <c r="N202" s="8" t="s">
        <v>21</v>
      </c>
      <c r="O202" s="8" t="s">
        <v>232</v>
      </c>
      <c r="P202" s="8" t="s">
        <v>377</v>
      </c>
      <c r="Q202" s="46" t="s">
        <v>390</v>
      </c>
      <c r="R202" s="8" t="str">
        <f>Table1[[#This Row],[Collection City (Required)]]</f>
        <v>Art of Baking Co.,Ltd</v>
      </c>
      <c r="S202" s="8" t="str">
        <f>_xlfn.XLOOKUP(Table1[[#This Row],[Serial Number]],[2]Summary!$B:$B,[2]Summary!$I:$I,0)</f>
        <v>OK</v>
      </c>
      <c r="T202" s="48">
        <v>46149</v>
      </c>
      <c r="U202" s="8"/>
      <c r="V202" s="16"/>
    </row>
    <row r="203" spans="1:22" ht="12" x14ac:dyDescent="0.15">
      <c r="A203" s="6" t="s">
        <v>16</v>
      </c>
      <c r="B203" s="7" t="s">
        <v>17</v>
      </c>
      <c r="C203" s="7" t="s">
        <v>18</v>
      </c>
      <c r="D203" s="7">
        <v>36</v>
      </c>
      <c r="E203" s="8" t="s">
        <v>242</v>
      </c>
      <c r="F203" s="9">
        <v>45017</v>
      </c>
      <c r="G203" s="9">
        <f t="shared" si="0"/>
        <v>46112</v>
      </c>
      <c r="H203" s="8">
        <v>1</v>
      </c>
      <c r="I203" s="8" t="s">
        <v>27</v>
      </c>
      <c r="J203" s="14" t="s">
        <v>28</v>
      </c>
      <c r="K203" s="14" t="s">
        <v>20</v>
      </c>
      <c r="L203" s="14" t="s">
        <v>254</v>
      </c>
      <c r="M203" s="10">
        <v>918.72000000000014</v>
      </c>
      <c r="N203" s="8" t="s">
        <v>21</v>
      </c>
      <c r="O203" s="8" t="s">
        <v>232</v>
      </c>
      <c r="P203" s="8" t="s">
        <v>377</v>
      </c>
      <c r="Q203" s="46" t="s">
        <v>390</v>
      </c>
      <c r="R203" s="8" t="str">
        <f>Table1[[#This Row],[Collection City (Required)]]</f>
        <v>Art of Baking Co.,Ltd</v>
      </c>
      <c r="S203" s="8" t="str">
        <f>_xlfn.XLOOKUP(Table1[[#This Row],[Serial Number]],[2]Summary!$B:$B,[2]Summary!$I:$I,0)</f>
        <v>OK</v>
      </c>
      <c r="T203" s="48">
        <v>46149</v>
      </c>
      <c r="U203" s="8"/>
      <c r="V203" s="16"/>
    </row>
    <row r="204" spans="1:22" ht="12" x14ac:dyDescent="0.15">
      <c r="A204" s="6" t="s">
        <v>16</v>
      </c>
      <c r="B204" s="7" t="s">
        <v>17</v>
      </c>
      <c r="C204" s="7" t="s">
        <v>18</v>
      </c>
      <c r="D204" s="7">
        <v>36</v>
      </c>
      <c r="E204" s="8" t="s">
        <v>242</v>
      </c>
      <c r="F204" s="9">
        <v>45017</v>
      </c>
      <c r="G204" s="9">
        <f t="shared" si="0"/>
        <v>46112</v>
      </c>
      <c r="H204" s="8">
        <v>1</v>
      </c>
      <c r="I204" s="8" t="s">
        <v>27</v>
      </c>
      <c r="J204" s="14" t="s">
        <v>28</v>
      </c>
      <c r="K204" s="14" t="s">
        <v>20</v>
      </c>
      <c r="L204" s="14" t="s">
        <v>255</v>
      </c>
      <c r="M204" s="10">
        <v>918.72000000000014</v>
      </c>
      <c r="N204" s="8" t="s">
        <v>21</v>
      </c>
      <c r="O204" s="8" t="s">
        <v>232</v>
      </c>
      <c r="P204" s="8" t="s">
        <v>377</v>
      </c>
      <c r="Q204" s="46" t="s">
        <v>390</v>
      </c>
      <c r="R204" s="8" t="str">
        <f>Table1[[#This Row],[Collection City (Required)]]</f>
        <v>Art of Baking Co.,Ltd</v>
      </c>
      <c r="S204" s="8" t="str">
        <f>_xlfn.XLOOKUP(Table1[[#This Row],[Serial Number]],[2]Summary!$B:$B,[2]Summary!$I:$I,0)</f>
        <v>OK</v>
      </c>
      <c r="T204" s="48">
        <v>46149</v>
      </c>
      <c r="U204" s="8"/>
      <c r="V204" s="16"/>
    </row>
    <row r="205" spans="1:22" ht="12" x14ac:dyDescent="0.15">
      <c r="A205" s="6" t="s">
        <v>16</v>
      </c>
      <c r="B205" s="7" t="s">
        <v>17</v>
      </c>
      <c r="C205" s="7" t="s">
        <v>18</v>
      </c>
      <c r="D205" s="7">
        <v>36</v>
      </c>
      <c r="E205" s="8" t="s">
        <v>242</v>
      </c>
      <c r="F205" s="9">
        <v>45017</v>
      </c>
      <c r="G205" s="9">
        <f t="shared" si="0"/>
        <v>46112</v>
      </c>
      <c r="H205" s="8">
        <v>1</v>
      </c>
      <c r="I205" s="8" t="s">
        <v>27</v>
      </c>
      <c r="J205" s="14" t="s">
        <v>28</v>
      </c>
      <c r="K205" s="14" t="s">
        <v>20</v>
      </c>
      <c r="L205" s="14" t="s">
        <v>256</v>
      </c>
      <c r="M205" s="10">
        <v>918.72000000000014</v>
      </c>
      <c r="N205" s="8" t="s">
        <v>21</v>
      </c>
      <c r="O205" s="8" t="s">
        <v>232</v>
      </c>
      <c r="P205" s="8" t="s">
        <v>377</v>
      </c>
      <c r="Q205" s="46" t="s">
        <v>390</v>
      </c>
      <c r="R205" s="8" t="str">
        <f>Table1[[#This Row],[Collection City (Required)]]</f>
        <v>Art of Baking Co.,Ltd</v>
      </c>
      <c r="S205" s="8" t="str">
        <f>_xlfn.XLOOKUP(Table1[[#This Row],[Serial Number]],[2]Summary!$B:$B,[2]Summary!$I:$I,0)</f>
        <v>OK</v>
      </c>
      <c r="T205" s="48">
        <v>46149</v>
      </c>
      <c r="U205" s="8"/>
      <c r="V205" s="16"/>
    </row>
    <row r="206" spans="1:22" ht="12" x14ac:dyDescent="0.15">
      <c r="A206" s="6" t="s">
        <v>16</v>
      </c>
      <c r="B206" s="7" t="s">
        <v>17</v>
      </c>
      <c r="C206" s="7" t="s">
        <v>18</v>
      </c>
      <c r="D206" s="7">
        <v>36</v>
      </c>
      <c r="E206" s="8" t="s">
        <v>242</v>
      </c>
      <c r="F206" s="9">
        <v>45017</v>
      </c>
      <c r="G206" s="9">
        <f t="shared" si="0"/>
        <v>46112</v>
      </c>
      <c r="H206" s="8">
        <v>1</v>
      </c>
      <c r="I206" s="8" t="s">
        <v>27</v>
      </c>
      <c r="J206" s="14" t="s">
        <v>28</v>
      </c>
      <c r="K206" s="14" t="s">
        <v>20</v>
      </c>
      <c r="L206" s="14" t="s">
        <v>257</v>
      </c>
      <c r="M206" s="10">
        <v>918.72000000000014</v>
      </c>
      <c r="N206" s="8" t="s">
        <v>21</v>
      </c>
      <c r="O206" s="8" t="s">
        <v>232</v>
      </c>
      <c r="P206" s="8" t="s">
        <v>377</v>
      </c>
      <c r="Q206" s="46" t="s">
        <v>390</v>
      </c>
      <c r="R206" s="8" t="str">
        <f>Table1[[#This Row],[Collection City (Required)]]</f>
        <v>Art of Baking Co.,Ltd</v>
      </c>
      <c r="S206" s="8" t="str">
        <f>_xlfn.XLOOKUP(Table1[[#This Row],[Serial Number]],[2]Summary!$B:$B,[2]Summary!$I:$I,0)</f>
        <v>No Mouse</v>
      </c>
      <c r="T206" s="48">
        <v>46149</v>
      </c>
      <c r="U206" s="8"/>
      <c r="V206" s="16"/>
    </row>
    <row r="207" spans="1:22" ht="12" x14ac:dyDescent="0.15">
      <c r="A207" s="6" t="s">
        <v>16</v>
      </c>
      <c r="B207" s="7" t="s">
        <v>17</v>
      </c>
      <c r="C207" s="7" t="s">
        <v>18</v>
      </c>
      <c r="D207" s="7">
        <v>36</v>
      </c>
      <c r="E207" s="8" t="s">
        <v>242</v>
      </c>
      <c r="F207" s="9">
        <v>45017</v>
      </c>
      <c r="G207" s="9">
        <f t="shared" si="0"/>
        <v>46112</v>
      </c>
      <c r="H207" s="8">
        <v>1</v>
      </c>
      <c r="I207" s="8" t="s">
        <v>27</v>
      </c>
      <c r="J207" s="14" t="s">
        <v>28</v>
      </c>
      <c r="K207" s="14" t="s">
        <v>20</v>
      </c>
      <c r="L207" s="14" t="s">
        <v>258</v>
      </c>
      <c r="M207" s="10">
        <v>918.72000000000014</v>
      </c>
      <c r="N207" s="8" t="s">
        <v>21</v>
      </c>
      <c r="O207" s="8" t="s">
        <v>232</v>
      </c>
      <c r="P207" s="8" t="s">
        <v>377</v>
      </c>
      <c r="Q207" s="46" t="s">
        <v>390</v>
      </c>
      <c r="R207" s="8" t="str">
        <f>Table1[[#This Row],[Collection City (Required)]]</f>
        <v>Art of Baking Co.,Ltd</v>
      </c>
      <c r="S207" s="8" t="str">
        <f>_xlfn.XLOOKUP(Table1[[#This Row],[Serial Number]],[2]Summary!$B:$B,[2]Summary!$I:$I,0)</f>
        <v>No Bag</v>
      </c>
      <c r="T207" s="48">
        <v>46149</v>
      </c>
      <c r="U207" s="8"/>
      <c r="V207" s="16"/>
    </row>
    <row r="208" spans="1:22" ht="12" x14ac:dyDescent="0.15">
      <c r="A208" s="6" t="s">
        <v>16</v>
      </c>
      <c r="B208" s="7" t="s">
        <v>17</v>
      </c>
      <c r="C208" s="7" t="s">
        <v>18</v>
      </c>
      <c r="D208" s="7">
        <v>36</v>
      </c>
      <c r="E208" s="8" t="s">
        <v>242</v>
      </c>
      <c r="F208" s="9">
        <v>45017</v>
      </c>
      <c r="G208" s="9">
        <f t="shared" si="0"/>
        <v>46112</v>
      </c>
      <c r="H208" s="8">
        <v>1</v>
      </c>
      <c r="I208" s="8" t="s">
        <v>27</v>
      </c>
      <c r="J208" s="14" t="s">
        <v>28</v>
      </c>
      <c r="K208" s="14" t="s">
        <v>20</v>
      </c>
      <c r="L208" s="14" t="s">
        <v>259</v>
      </c>
      <c r="M208" s="10">
        <v>918.72000000000014</v>
      </c>
      <c r="N208" s="8" t="s">
        <v>21</v>
      </c>
      <c r="O208" s="8" t="s">
        <v>232</v>
      </c>
      <c r="P208" s="8" t="s">
        <v>377</v>
      </c>
      <c r="Q208" s="46" t="s">
        <v>390</v>
      </c>
      <c r="R208" s="8" t="str">
        <f>Table1[[#This Row],[Collection City (Required)]]</f>
        <v>Art of Baking Co.,Ltd</v>
      </c>
      <c r="S208" s="8" t="str">
        <f>_xlfn.XLOOKUP(Table1[[#This Row],[Serial Number]],[2]Summary!$B:$B,[2]Summary!$I:$I,0)</f>
        <v>OK</v>
      </c>
      <c r="T208" s="48">
        <v>46149</v>
      </c>
      <c r="U208" s="8"/>
      <c r="V208" s="16"/>
    </row>
    <row r="209" spans="1:22" ht="12" x14ac:dyDescent="0.15">
      <c r="A209" s="6" t="s">
        <v>16</v>
      </c>
      <c r="B209" s="7" t="s">
        <v>17</v>
      </c>
      <c r="C209" s="7" t="s">
        <v>18</v>
      </c>
      <c r="D209" s="7">
        <v>36</v>
      </c>
      <c r="E209" s="8" t="s">
        <v>242</v>
      </c>
      <c r="F209" s="9">
        <v>45017</v>
      </c>
      <c r="G209" s="9">
        <f t="shared" si="0"/>
        <v>46112</v>
      </c>
      <c r="H209" s="8">
        <v>1</v>
      </c>
      <c r="I209" s="8" t="s">
        <v>27</v>
      </c>
      <c r="J209" s="14" t="s">
        <v>28</v>
      </c>
      <c r="K209" s="14" t="s">
        <v>20</v>
      </c>
      <c r="L209" s="14" t="s">
        <v>260</v>
      </c>
      <c r="M209" s="10">
        <v>918.72000000000014</v>
      </c>
      <c r="N209" s="8" t="s">
        <v>21</v>
      </c>
      <c r="O209" s="8" t="s">
        <v>232</v>
      </c>
      <c r="P209" s="8" t="s">
        <v>377</v>
      </c>
      <c r="Q209" s="46" t="s">
        <v>390</v>
      </c>
      <c r="R209" s="8" t="str">
        <f>Table1[[#This Row],[Collection City (Required)]]</f>
        <v>Art of Baking Co.,Ltd</v>
      </c>
      <c r="S209" s="8" t="str">
        <f>_xlfn.XLOOKUP(Table1[[#This Row],[Serial Number]],[2]Summary!$B:$B,[2]Summary!$I:$I,0)</f>
        <v>OK</v>
      </c>
      <c r="T209" s="48">
        <v>46149</v>
      </c>
      <c r="U209" s="8"/>
      <c r="V209" s="16"/>
    </row>
    <row r="210" spans="1:22" ht="12" x14ac:dyDescent="0.15">
      <c r="A210" s="6" t="s">
        <v>16</v>
      </c>
      <c r="B210" s="7" t="s">
        <v>17</v>
      </c>
      <c r="C210" s="7" t="s">
        <v>18</v>
      </c>
      <c r="D210" s="7">
        <v>36</v>
      </c>
      <c r="E210" s="8" t="s">
        <v>242</v>
      </c>
      <c r="F210" s="9">
        <v>45017</v>
      </c>
      <c r="G210" s="9">
        <f t="shared" si="0"/>
        <v>46112</v>
      </c>
      <c r="H210" s="8">
        <v>1</v>
      </c>
      <c r="I210" s="8" t="s">
        <v>27</v>
      </c>
      <c r="J210" s="14" t="s">
        <v>28</v>
      </c>
      <c r="K210" s="14" t="s">
        <v>20</v>
      </c>
      <c r="L210" s="14" t="s">
        <v>261</v>
      </c>
      <c r="M210" s="10">
        <v>918.72000000000014</v>
      </c>
      <c r="N210" s="8" t="s">
        <v>21</v>
      </c>
      <c r="O210" s="8" t="s">
        <v>232</v>
      </c>
      <c r="P210" s="8" t="s">
        <v>377</v>
      </c>
      <c r="Q210" s="46" t="s">
        <v>390</v>
      </c>
      <c r="R210" s="8" t="str">
        <f>Table1[[#This Row],[Collection City (Required)]]</f>
        <v>Art of Baking Co.,Ltd</v>
      </c>
      <c r="S210" s="8" t="str">
        <f>_xlfn.XLOOKUP(Table1[[#This Row],[Serial Number]],[2]Summary!$B:$B,[2]Summary!$I:$I,0)</f>
        <v>No Adapter</v>
      </c>
      <c r="T210" s="48">
        <v>46149</v>
      </c>
      <c r="U210" s="8"/>
      <c r="V210" s="16"/>
    </row>
    <row r="211" spans="1:22" ht="12" x14ac:dyDescent="0.15">
      <c r="A211" s="6" t="s">
        <v>16</v>
      </c>
      <c r="B211" s="7" t="s">
        <v>17</v>
      </c>
      <c r="C211" s="7" t="s">
        <v>18</v>
      </c>
      <c r="D211" s="7">
        <v>36</v>
      </c>
      <c r="E211" s="8" t="s">
        <v>242</v>
      </c>
      <c r="F211" s="9">
        <v>45017</v>
      </c>
      <c r="G211" s="9">
        <f t="shared" si="0"/>
        <v>46112</v>
      </c>
      <c r="H211" s="8">
        <v>1</v>
      </c>
      <c r="I211" s="8" t="s">
        <v>27</v>
      </c>
      <c r="J211" s="14" t="s">
        <v>28</v>
      </c>
      <c r="K211" s="14" t="s">
        <v>20</v>
      </c>
      <c r="L211" s="14" t="s">
        <v>262</v>
      </c>
      <c r="M211" s="10">
        <v>918.72000000000014</v>
      </c>
      <c r="N211" s="8" t="s">
        <v>21</v>
      </c>
      <c r="O211" s="8" t="s">
        <v>232</v>
      </c>
      <c r="P211" s="8" t="s">
        <v>377</v>
      </c>
      <c r="Q211" s="46" t="s">
        <v>390</v>
      </c>
      <c r="R211" s="8" t="str">
        <f>Table1[[#This Row],[Collection City (Required)]]</f>
        <v>Art of Baking Co.,Ltd</v>
      </c>
      <c r="S211" s="8" t="str">
        <f>_xlfn.XLOOKUP(Table1[[#This Row],[Serial Number]],[2]Summary!$B:$B,[2]Summary!$I:$I,0)</f>
        <v>OK</v>
      </c>
      <c r="T211" s="48">
        <v>46149</v>
      </c>
      <c r="U211" s="8"/>
      <c r="V211" s="16"/>
    </row>
    <row r="212" spans="1:22" ht="12" x14ac:dyDescent="0.15">
      <c r="A212" s="6" t="s">
        <v>16</v>
      </c>
      <c r="B212" s="7" t="s">
        <v>17</v>
      </c>
      <c r="C212" s="7" t="s">
        <v>18</v>
      </c>
      <c r="D212" s="7">
        <v>36</v>
      </c>
      <c r="E212" s="8" t="s">
        <v>242</v>
      </c>
      <c r="F212" s="9">
        <v>45017</v>
      </c>
      <c r="G212" s="9">
        <f t="shared" si="0"/>
        <v>46112</v>
      </c>
      <c r="H212" s="8">
        <v>1</v>
      </c>
      <c r="I212" s="8" t="s">
        <v>27</v>
      </c>
      <c r="J212" s="14" t="s">
        <v>28</v>
      </c>
      <c r="K212" s="14" t="s">
        <v>20</v>
      </c>
      <c r="L212" s="14" t="s">
        <v>263</v>
      </c>
      <c r="M212" s="10">
        <v>918.72000000000014</v>
      </c>
      <c r="N212" s="8" t="s">
        <v>21</v>
      </c>
      <c r="O212" s="8" t="s">
        <v>232</v>
      </c>
      <c r="P212" s="8" t="s">
        <v>377</v>
      </c>
      <c r="Q212" s="46" t="s">
        <v>390</v>
      </c>
      <c r="R212" s="8" t="str">
        <f>Table1[[#This Row],[Collection City (Required)]]</f>
        <v>Art of Baking Co.,Ltd</v>
      </c>
      <c r="S212" s="8" t="str">
        <f>_xlfn.XLOOKUP(Table1[[#This Row],[Serial Number]],[2]Summary!$B:$B,[2]Summary!$I:$I,0)</f>
        <v>OK</v>
      </c>
      <c r="T212" s="48">
        <v>46149</v>
      </c>
      <c r="U212" s="8"/>
      <c r="V212" s="16"/>
    </row>
    <row r="213" spans="1:22" ht="12" x14ac:dyDescent="0.15">
      <c r="A213" s="6" t="s">
        <v>16</v>
      </c>
      <c r="B213" s="7" t="s">
        <v>17</v>
      </c>
      <c r="C213" s="7" t="s">
        <v>18</v>
      </c>
      <c r="D213" s="7">
        <v>36</v>
      </c>
      <c r="E213" s="8" t="s">
        <v>242</v>
      </c>
      <c r="F213" s="9">
        <v>45017</v>
      </c>
      <c r="G213" s="9">
        <f t="shared" si="0"/>
        <v>46112</v>
      </c>
      <c r="H213" s="8">
        <v>1</v>
      </c>
      <c r="I213" s="8" t="s">
        <v>27</v>
      </c>
      <c r="J213" s="14" t="s">
        <v>28</v>
      </c>
      <c r="K213" s="14" t="s">
        <v>20</v>
      </c>
      <c r="L213" s="14" t="s">
        <v>264</v>
      </c>
      <c r="M213" s="10">
        <v>918.72000000000014</v>
      </c>
      <c r="N213" s="8" t="s">
        <v>21</v>
      </c>
      <c r="O213" s="8" t="s">
        <v>232</v>
      </c>
      <c r="P213" s="8" t="s">
        <v>377</v>
      </c>
      <c r="Q213" s="46" t="s">
        <v>390</v>
      </c>
      <c r="R213" s="8" t="str">
        <f>Table1[[#This Row],[Collection City (Required)]]</f>
        <v>Art of Baking Co.,Ltd</v>
      </c>
      <c r="S213" s="8" t="str">
        <f>_xlfn.XLOOKUP(Table1[[#This Row],[Serial Number]],[2]Summary!$B:$B,[2]Summary!$I:$I,0)</f>
        <v>OK</v>
      </c>
      <c r="T213" s="48">
        <v>46149</v>
      </c>
      <c r="U213" s="8"/>
      <c r="V213" s="16"/>
    </row>
    <row r="214" spans="1:22" ht="12" x14ac:dyDescent="0.15">
      <c r="A214" s="6" t="s">
        <v>16</v>
      </c>
      <c r="B214" s="7" t="s">
        <v>17</v>
      </c>
      <c r="C214" s="7" t="s">
        <v>18</v>
      </c>
      <c r="D214" s="7">
        <v>36</v>
      </c>
      <c r="E214" s="8" t="s">
        <v>242</v>
      </c>
      <c r="F214" s="9">
        <v>45017</v>
      </c>
      <c r="G214" s="9">
        <f t="shared" si="0"/>
        <v>46112</v>
      </c>
      <c r="H214" s="8">
        <v>1</v>
      </c>
      <c r="I214" s="8" t="s">
        <v>27</v>
      </c>
      <c r="J214" s="14" t="s">
        <v>28</v>
      </c>
      <c r="K214" s="14" t="s">
        <v>20</v>
      </c>
      <c r="L214" s="14" t="s">
        <v>265</v>
      </c>
      <c r="M214" s="10">
        <v>918.72000000000014</v>
      </c>
      <c r="N214" s="8" t="s">
        <v>21</v>
      </c>
      <c r="O214" s="8" t="s">
        <v>232</v>
      </c>
      <c r="P214" s="8" t="s">
        <v>377</v>
      </c>
      <c r="Q214" s="46" t="s">
        <v>390</v>
      </c>
      <c r="R214" s="8" t="str">
        <f>Table1[[#This Row],[Collection City (Required)]]</f>
        <v>Art of Baking Co.,Ltd</v>
      </c>
      <c r="S214" s="8" t="str">
        <f>_xlfn.XLOOKUP(Table1[[#This Row],[Serial Number]],[2]Summary!$B:$B,[2]Summary!$I:$I,0)</f>
        <v>OK</v>
      </c>
      <c r="T214" s="48">
        <v>46149</v>
      </c>
      <c r="U214" s="8"/>
      <c r="V214" s="16"/>
    </row>
    <row r="215" spans="1:22" ht="12" x14ac:dyDescent="0.15">
      <c r="A215" s="6" t="s">
        <v>16</v>
      </c>
      <c r="B215" s="7" t="s">
        <v>17</v>
      </c>
      <c r="C215" s="7" t="s">
        <v>18</v>
      </c>
      <c r="D215" s="7">
        <v>36</v>
      </c>
      <c r="E215" s="8" t="s">
        <v>242</v>
      </c>
      <c r="F215" s="9">
        <v>45017</v>
      </c>
      <c r="G215" s="9">
        <f t="shared" si="0"/>
        <v>46112</v>
      </c>
      <c r="H215" s="8">
        <v>1</v>
      </c>
      <c r="I215" s="8" t="s">
        <v>27</v>
      </c>
      <c r="J215" s="14" t="s">
        <v>28</v>
      </c>
      <c r="K215" s="14" t="s">
        <v>20</v>
      </c>
      <c r="L215" s="14" t="s">
        <v>266</v>
      </c>
      <c r="M215" s="10">
        <v>918.72000000000014</v>
      </c>
      <c r="N215" s="8" t="s">
        <v>21</v>
      </c>
      <c r="O215" s="8" t="s">
        <v>232</v>
      </c>
      <c r="P215" s="8" t="s">
        <v>377</v>
      </c>
      <c r="Q215" s="46" t="s">
        <v>390</v>
      </c>
      <c r="R215" s="8" t="str">
        <f>Table1[[#This Row],[Collection City (Required)]]</f>
        <v>Art of Baking Co.,Ltd</v>
      </c>
      <c r="S215" s="8" t="str">
        <f>_xlfn.XLOOKUP(Table1[[#This Row],[Serial Number]],[2]Summary!$B:$B,[2]Summary!$I:$I,0)</f>
        <v>OK</v>
      </c>
      <c r="T215" s="48">
        <v>46149</v>
      </c>
      <c r="U215" s="8"/>
      <c r="V215" s="16"/>
    </row>
    <row r="216" spans="1:22" ht="12" x14ac:dyDescent="0.15">
      <c r="A216" s="6" t="s">
        <v>16</v>
      </c>
      <c r="B216" s="7" t="s">
        <v>17</v>
      </c>
      <c r="C216" s="7" t="s">
        <v>18</v>
      </c>
      <c r="D216" s="7">
        <v>36</v>
      </c>
      <c r="E216" s="8" t="s">
        <v>242</v>
      </c>
      <c r="F216" s="9">
        <v>45017</v>
      </c>
      <c r="G216" s="9">
        <f t="shared" si="0"/>
        <v>46112</v>
      </c>
      <c r="H216" s="8">
        <v>1</v>
      </c>
      <c r="I216" s="8" t="s">
        <v>27</v>
      </c>
      <c r="J216" s="14" t="s">
        <v>28</v>
      </c>
      <c r="K216" s="14" t="s">
        <v>20</v>
      </c>
      <c r="L216" s="14" t="s">
        <v>267</v>
      </c>
      <c r="M216" s="10">
        <v>918.72000000000014</v>
      </c>
      <c r="N216" s="8" t="s">
        <v>21</v>
      </c>
      <c r="O216" s="8" t="s">
        <v>232</v>
      </c>
      <c r="P216" s="8" t="s">
        <v>377</v>
      </c>
      <c r="Q216" s="46" t="s">
        <v>390</v>
      </c>
      <c r="R216" s="8" t="str">
        <f>Table1[[#This Row],[Collection City (Required)]]</f>
        <v>Art of Baking Co.,Ltd</v>
      </c>
      <c r="S216" s="8" t="str">
        <f>_xlfn.XLOOKUP(Table1[[#This Row],[Serial Number]],[2]Summary!$B:$B,[2]Summary!$I:$I,0)</f>
        <v>OK</v>
      </c>
      <c r="T216" s="48">
        <v>46149</v>
      </c>
      <c r="U216" s="8"/>
      <c r="V216" s="16"/>
    </row>
    <row r="217" spans="1:22" ht="12" x14ac:dyDescent="0.15">
      <c r="A217" s="6" t="s">
        <v>16</v>
      </c>
      <c r="B217" s="7" t="s">
        <v>17</v>
      </c>
      <c r="C217" s="7" t="s">
        <v>18</v>
      </c>
      <c r="D217" s="7">
        <v>36</v>
      </c>
      <c r="E217" s="8" t="s">
        <v>242</v>
      </c>
      <c r="F217" s="9">
        <v>45017</v>
      </c>
      <c r="G217" s="9">
        <f t="shared" si="0"/>
        <v>46112</v>
      </c>
      <c r="H217" s="8">
        <v>1</v>
      </c>
      <c r="I217" s="8" t="s">
        <v>27</v>
      </c>
      <c r="J217" s="14" t="s">
        <v>28</v>
      </c>
      <c r="K217" s="14" t="s">
        <v>20</v>
      </c>
      <c r="L217" s="14" t="s">
        <v>268</v>
      </c>
      <c r="M217" s="10">
        <v>918.72000000000014</v>
      </c>
      <c r="N217" s="8" t="s">
        <v>21</v>
      </c>
      <c r="O217" s="8" t="s">
        <v>232</v>
      </c>
      <c r="P217" s="8" t="s">
        <v>377</v>
      </c>
      <c r="Q217" s="46" t="s">
        <v>390</v>
      </c>
      <c r="R217" s="8" t="str">
        <f>Table1[[#This Row],[Collection City (Required)]]</f>
        <v>Art of Baking Co.,Ltd</v>
      </c>
      <c r="S217" s="8" t="str">
        <f>_xlfn.XLOOKUP(Table1[[#This Row],[Serial Number]],[2]Summary!$B:$B,[2]Summary!$I:$I,0)</f>
        <v>OK</v>
      </c>
      <c r="T217" s="48">
        <v>46149</v>
      </c>
      <c r="U217" s="8"/>
      <c r="V217" s="16"/>
    </row>
    <row r="218" spans="1:22" ht="12" x14ac:dyDescent="0.15">
      <c r="A218" s="6" t="s">
        <v>16</v>
      </c>
      <c r="B218" s="7" t="s">
        <v>17</v>
      </c>
      <c r="C218" s="7" t="s">
        <v>18</v>
      </c>
      <c r="D218" s="7">
        <v>36</v>
      </c>
      <c r="E218" s="8" t="s">
        <v>242</v>
      </c>
      <c r="F218" s="9">
        <v>45017</v>
      </c>
      <c r="G218" s="9">
        <f t="shared" si="0"/>
        <v>46112</v>
      </c>
      <c r="H218" s="8">
        <v>1</v>
      </c>
      <c r="I218" s="8" t="s">
        <v>27</v>
      </c>
      <c r="J218" s="14" t="s">
        <v>28</v>
      </c>
      <c r="K218" s="14" t="s">
        <v>20</v>
      </c>
      <c r="L218" s="14" t="s">
        <v>269</v>
      </c>
      <c r="M218" s="10">
        <v>918.72000000000014</v>
      </c>
      <c r="N218" s="8" t="s">
        <v>21</v>
      </c>
      <c r="O218" s="8" t="s">
        <v>232</v>
      </c>
      <c r="P218" s="8" t="s">
        <v>377</v>
      </c>
      <c r="Q218" s="46" t="s">
        <v>390</v>
      </c>
      <c r="R218" s="8" t="str">
        <f>Table1[[#This Row],[Collection City (Required)]]</f>
        <v>Art of Baking Co.,Ltd</v>
      </c>
      <c r="S218" s="8" t="str">
        <f>_xlfn.XLOOKUP(Table1[[#This Row],[Serial Number]],[2]Summary!$B:$B,[2]Summary!$I:$I,0)</f>
        <v>No Mouse</v>
      </c>
      <c r="T218" s="48">
        <v>46149</v>
      </c>
      <c r="U218" s="8"/>
      <c r="V218" s="16"/>
    </row>
    <row r="219" spans="1:22" ht="12" x14ac:dyDescent="0.15">
      <c r="A219" s="6" t="s">
        <v>16</v>
      </c>
      <c r="B219" s="7" t="s">
        <v>17</v>
      </c>
      <c r="C219" s="7" t="s">
        <v>18</v>
      </c>
      <c r="D219" s="7">
        <v>36</v>
      </c>
      <c r="E219" s="8" t="s">
        <v>242</v>
      </c>
      <c r="F219" s="9">
        <v>45017</v>
      </c>
      <c r="G219" s="9">
        <f t="shared" si="0"/>
        <v>46112</v>
      </c>
      <c r="H219" s="8">
        <v>1</v>
      </c>
      <c r="I219" s="8" t="s">
        <v>27</v>
      </c>
      <c r="J219" s="14" t="s">
        <v>28</v>
      </c>
      <c r="K219" s="14" t="s">
        <v>20</v>
      </c>
      <c r="L219" s="14" t="s">
        <v>270</v>
      </c>
      <c r="M219" s="10">
        <v>918.72000000000014</v>
      </c>
      <c r="N219" s="8" t="s">
        <v>21</v>
      </c>
      <c r="O219" s="8" t="s">
        <v>232</v>
      </c>
      <c r="P219" s="8" t="s">
        <v>377</v>
      </c>
      <c r="Q219" s="46" t="s">
        <v>390</v>
      </c>
      <c r="R219" s="8" t="str">
        <f>Table1[[#This Row],[Collection City (Required)]]</f>
        <v>Art of Baking Co.,Ltd</v>
      </c>
      <c r="S219" s="8" t="str">
        <f>_xlfn.XLOOKUP(Table1[[#This Row],[Serial Number]],[2]Summary!$B:$B,[2]Summary!$I:$I,0)</f>
        <v>OK</v>
      </c>
      <c r="T219" s="48">
        <v>46149</v>
      </c>
      <c r="U219" s="8"/>
      <c r="V219" s="16"/>
    </row>
    <row r="220" spans="1:22" ht="12" x14ac:dyDescent="0.15">
      <c r="A220" s="6" t="s">
        <v>16</v>
      </c>
      <c r="B220" s="7" t="s">
        <v>17</v>
      </c>
      <c r="C220" s="7" t="s">
        <v>18</v>
      </c>
      <c r="D220" s="7">
        <v>36</v>
      </c>
      <c r="E220" s="8" t="s">
        <v>242</v>
      </c>
      <c r="F220" s="9">
        <v>45017</v>
      </c>
      <c r="G220" s="9">
        <f t="shared" si="0"/>
        <v>46112</v>
      </c>
      <c r="H220" s="8">
        <v>1</v>
      </c>
      <c r="I220" s="8" t="s">
        <v>27</v>
      </c>
      <c r="J220" s="14" t="s">
        <v>28</v>
      </c>
      <c r="K220" s="14" t="s">
        <v>20</v>
      </c>
      <c r="L220" s="14" t="s">
        <v>271</v>
      </c>
      <c r="M220" s="10">
        <v>918.72000000000014</v>
      </c>
      <c r="N220" s="8" t="s">
        <v>21</v>
      </c>
      <c r="O220" s="8" t="s">
        <v>232</v>
      </c>
      <c r="P220" s="8" t="s">
        <v>377</v>
      </c>
      <c r="Q220" s="46" t="s">
        <v>390</v>
      </c>
      <c r="R220" s="8" t="str">
        <f>Table1[[#This Row],[Collection City (Required)]]</f>
        <v>Art of Baking Co.,Ltd</v>
      </c>
      <c r="S220" s="8" t="str">
        <f>_xlfn.XLOOKUP(Table1[[#This Row],[Serial Number]],[2]Summary!$B:$B,[2]Summary!$I:$I,0)</f>
        <v>OK</v>
      </c>
      <c r="T220" s="48">
        <v>46149</v>
      </c>
      <c r="U220" s="8"/>
      <c r="V220" s="16"/>
    </row>
    <row r="221" spans="1:22" ht="12" x14ac:dyDescent="0.15">
      <c r="A221" s="6" t="s">
        <v>16</v>
      </c>
      <c r="B221" s="7" t="s">
        <v>17</v>
      </c>
      <c r="C221" s="7" t="s">
        <v>18</v>
      </c>
      <c r="D221" s="7">
        <v>36</v>
      </c>
      <c r="E221" s="8" t="s">
        <v>242</v>
      </c>
      <c r="F221" s="9">
        <v>45017</v>
      </c>
      <c r="G221" s="9">
        <f t="shared" si="0"/>
        <v>46112</v>
      </c>
      <c r="H221" s="8">
        <v>1</v>
      </c>
      <c r="I221" s="8" t="s">
        <v>27</v>
      </c>
      <c r="J221" s="14" t="s">
        <v>28</v>
      </c>
      <c r="K221" s="14" t="s">
        <v>20</v>
      </c>
      <c r="L221" s="14" t="s">
        <v>272</v>
      </c>
      <c r="M221" s="10">
        <v>918.72000000000014</v>
      </c>
      <c r="N221" s="8" t="s">
        <v>21</v>
      </c>
      <c r="O221" s="8" t="s">
        <v>232</v>
      </c>
      <c r="P221" s="8" t="s">
        <v>377</v>
      </c>
      <c r="Q221" s="46" t="s">
        <v>390</v>
      </c>
      <c r="R221" s="8" t="str">
        <f>Table1[[#This Row],[Collection City (Required)]]</f>
        <v>Art of Baking Co.,Ltd</v>
      </c>
      <c r="S221" s="8" t="str">
        <f>_xlfn.XLOOKUP(Table1[[#This Row],[Serial Number]],[2]Summary!$B:$B,[2]Summary!$I:$I,0)</f>
        <v>OK</v>
      </c>
      <c r="T221" s="48">
        <v>46149</v>
      </c>
      <c r="U221" s="8"/>
      <c r="V221" s="16"/>
    </row>
    <row r="222" spans="1:22" ht="12" x14ac:dyDescent="0.15">
      <c r="A222" s="6" t="s">
        <v>16</v>
      </c>
      <c r="B222" s="7" t="s">
        <v>17</v>
      </c>
      <c r="C222" s="7" t="s">
        <v>18</v>
      </c>
      <c r="D222" s="7">
        <v>36</v>
      </c>
      <c r="E222" s="8" t="s">
        <v>242</v>
      </c>
      <c r="F222" s="9">
        <v>45017</v>
      </c>
      <c r="G222" s="9">
        <f t="shared" si="0"/>
        <v>46112</v>
      </c>
      <c r="H222" s="8">
        <v>1</v>
      </c>
      <c r="I222" s="8" t="s">
        <v>27</v>
      </c>
      <c r="J222" s="14" t="s">
        <v>28</v>
      </c>
      <c r="K222" s="14" t="s">
        <v>20</v>
      </c>
      <c r="L222" s="14" t="s">
        <v>273</v>
      </c>
      <c r="M222" s="10">
        <v>918.72000000000014</v>
      </c>
      <c r="N222" s="8" t="s">
        <v>21</v>
      </c>
      <c r="O222" s="8" t="s">
        <v>232</v>
      </c>
      <c r="P222" s="8" t="s">
        <v>377</v>
      </c>
      <c r="Q222" s="46" t="s">
        <v>390</v>
      </c>
      <c r="R222" s="8" t="str">
        <f>Table1[[#This Row],[Collection City (Required)]]</f>
        <v>Art of Baking Co.,Ltd</v>
      </c>
      <c r="S222" s="8" t="str">
        <f>_xlfn.XLOOKUP(Table1[[#This Row],[Serial Number]],[2]Summary!$B:$B,[2]Summary!$I:$I,0)</f>
        <v>OK</v>
      </c>
      <c r="T222" s="48">
        <v>46149</v>
      </c>
      <c r="U222" s="8"/>
      <c r="V222" s="16"/>
    </row>
    <row r="223" spans="1:22" ht="12" x14ac:dyDescent="0.15">
      <c r="A223" s="6" t="s">
        <v>16</v>
      </c>
      <c r="B223" s="7" t="s">
        <v>17</v>
      </c>
      <c r="C223" s="7" t="s">
        <v>18</v>
      </c>
      <c r="D223" s="7">
        <v>36</v>
      </c>
      <c r="E223" s="8" t="s">
        <v>242</v>
      </c>
      <c r="F223" s="9">
        <v>45017</v>
      </c>
      <c r="G223" s="9">
        <f t="shared" si="0"/>
        <v>46112</v>
      </c>
      <c r="H223" s="8">
        <v>1</v>
      </c>
      <c r="I223" s="8" t="s">
        <v>27</v>
      </c>
      <c r="J223" s="14" t="s">
        <v>28</v>
      </c>
      <c r="K223" s="14" t="s">
        <v>20</v>
      </c>
      <c r="L223" s="14" t="s">
        <v>274</v>
      </c>
      <c r="M223" s="10">
        <v>918.72000000000014</v>
      </c>
      <c r="N223" s="8" t="s">
        <v>21</v>
      </c>
      <c r="O223" s="8" t="s">
        <v>232</v>
      </c>
      <c r="P223" s="8" t="s">
        <v>377</v>
      </c>
      <c r="Q223" s="46" t="s">
        <v>390</v>
      </c>
      <c r="R223" s="8" t="str">
        <f>Table1[[#This Row],[Collection City (Required)]]</f>
        <v>Art of Baking Co.,Ltd</v>
      </c>
      <c r="S223" s="8" t="str">
        <f>_xlfn.XLOOKUP(Table1[[#This Row],[Serial Number]],[2]Summary!$B:$B,[2]Summary!$I:$I,0)</f>
        <v>OK</v>
      </c>
      <c r="T223" s="48">
        <v>46149</v>
      </c>
      <c r="U223" s="8"/>
      <c r="V223" s="16"/>
    </row>
    <row r="224" spans="1:22" ht="12" x14ac:dyDescent="0.15">
      <c r="A224" s="6" t="s">
        <v>16</v>
      </c>
      <c r="B224" s="7" t="s">
        <v>17</v>
      </c>
      <c r="C224" s="7" t="s">
        <v>18</v>
      </c>
      <c r="D224" s="7">
        <v>36</v>
      </c>
      <c r="E224" s="8" t="s">
        <v>242</v>
      </c>
      <c r="F224" s="9">
        <v>45017</v>
      </c>
      <c r="G224" s="9">
        <f t="shared" si="0"/>
        <v>46112</v>
      </c>
      <c r="H224" s="8">
        <v>1</v>
      </c>
      <c r="I224" s="8" t="s">
        <v>27</v>
      </c>
      <c r="J224" s="14" t="s">
        <v>28</v>
      </c>
      <c r="K224" s="14" t="s">
        <v>20</v>
      </c>
      <c r="L224" s="14" t="s">
        <v>275</v>
      </c>
      <c r="M224" s="10">
        <v>918.72000000000014</v>
      </c>
      <c r="N224" s="8" t="s">
        <v>21</v>
      </c>
      <c r="O224" s="8" t="s">
        <v>232</v>
      </c>
      <c r="P224" s="8" t="s">
        <v>377</v>
      </c>
      <c r="Q224" s="46" t="s">
        <v>390</v>
      </c>
      <c r="R224" s="8" t="str">
        <f>Table1[[#This Row],[Collection City (Required)]]</f>
        <v>Art of Baking Co.,Ltd</v>
      </c>
      <c r="S224" s="8" t="str">
        <f>_xlfn.XLOOKUP(Table1[[#This Row],[Serial Number]],[2]Summary!$B:$B,[2]Summary!$I:$I,0)</f>
        <v>OK</v>
      </c>
      <c r="T224" s="48">
        <v>46149</v>
      </c>
      <c r="U224" s="8"/>
      <c r="V224" s="16"/>
    </row>
    <row r="225" spans="1:22" ht="12" x14ac:dyDescent="0.15">
      <c r="A225" s="6" t="s">
        <v>16</v>
      </c>
      <c r="B225" s="7" t="s">
        <v>17</v>
      </c>
      <c r="C225" s="7" t="s">
        <v>18</v>
      </c>
      <c r="D225" s="7">
        <v>36</v>
      </c>
      <c r="E225" s="8" t="s">
        <v>242</v>
      </c>
      <c r="F225" s="9">
        <v>45017</v>
      </c>
      <c r="G225" s="9">
        <f t="shared" si="0"/>
        <v>46112</v>
      </c>
      <c r="H225" s="8">
        <v>1</v>
      </c>
      <c r="I225" s="8" t="s">
        <v>27</v>
      </c>
      <c r="J225" s="14" t="s">
        <v>28</v>
      </c>
      <c r="K225" s="14" t="s">
        <v>20</v>
      </c>
      <c r="L225" s="14" t="s">
        <v>276</v>
      </c>
      <c r="M225" s="10">
        <v>918.72000000000014</v>
      </c>
      <c r="N225" s="8" t="s">
        <v>21</v>
      </c>
      <c r="O225" s="8" t="s">
        <v>232</v>
      </c>
      <c r="P225" s="8" t="s">
        <v>377</v>
      </c>
      <c r="Q225" s="46" t="s">
        <v>390</v>
      </c>
      <c r="R225" s="8" t="str">
        <f>Table1[[#This Row],[Collection City (Required)]]</f>
        <v>Art of Baking Co.,Ltd</v>
      </c>
      <c r="S225" s="8" t="str">
        <f>_xlfn.XLOOKUP(Table1[[#This Row],[Serial Number]],[2]Summary!$B:$B,[2]Summary!$I:$I,0)</f>
        <v>OK</v>
      </c>
      <c r="T225" s="48">
        <v>46149</v>
      </c>
      <c r="U225" s="8"/>
      <c r="V225" s="16"/>
    </row>
    <row r="226" spans="1:22" ht="12" x14ac:dyDescent="0.15">
      <c r="A226" s="17" t="s">
        <v>16</v>
      </c>
      <c r="B226" s="18" t="s">
        <v>17</v>
      </c>
      <c r="C226" s="18" t="s">
        <v>18</v>
      </c>
      <c r="D226" s="18">
        <v>36</v>
      </c>
      <c r="E226" s="19" t="s">
        <v>242</v>
      </c>
      <c r="F226" s="20">
        <v>45017</v>
      </c>
      <c r="G226" s="20">
        <f t="shared" si="0"/>
        <v>46112</v>
      </c>
      <c r="H226" s="19">
        <v>1</v>
      </c>
      <c r="I226" s="19" t="s">
        <v>27</v>
      </c>
      <c r="J226" s="21" t="s">
        <v>28</v>
      </c>
      <c r="K226" s="21" t="s">
        <v>20</v>
      </c>
      <c r="L226" s="21" t="s">
        <v>277</v>
      </c>
      <c r="M226" s="22">
        <v>918.72000000000014</v>
      </c>
      <c r="N226" s="8" t="s">
        <v>21</v>
      </c>
      <c r="O226" s="19" t="s">
        <v>232</v>
      </c>
      <c r="P226" s="8" t="s">
        <v>377</v>
      </c>
      <c r="Q226" s="46" t="s">
        <v>390</v>
      </c>
      <c r="R226" s="8" t="str">
        <f>Table1[[#This Row],[Collection City (Required)]]</f>
        <v>Art of Baking Co.,Ltd</v>
      </c>
      <c r="S226" s="8" t="str">
        <f>_xlfn.XLOOKUP(Table1[[#This Row],[Serial Number]],[2]Summary!$B:$B,[2]Summary!$I:$I,0)</f>
        <v>OK</v>
      </c>
      <c r="T226" s="48">
        <v>46149</v>
      </c>
      <c r="U226" s="19"/>
      <c r="V226" s="23"/>
    </row>
    <row r="230" spans="1:22" x14ac:dyDescent="0.15">
      <c r="J230" s="51" t="s">
        <v>424</v>
      </c>
      <c r="K230" s="51"/>
      <c r="L230" s="52" t="s">
        <v>425</v>
      </c>
      <c r="M230" s="51"/>
      <c r="N230" s="51"/>
      <c r="O230" s="53" t="s">
        <v>233</v>
      </c>
      <c r="P230" s="54" t="s">
        <v>377</v>
      </c>
      <c r="Q230" s="55"/>
      <c r="R230" s="53"/>
      <c r="S230" s="53"/>
      <c r="T230" s="56"/>
      <c r="U230" s="53"/>
    </row>
    <row r="231" spans="1:22" x14ac:dyDescent="0.15">
      <c r="J231" s="51" t="s">
        <v>424</v>
      </c>
      <c r="K231" s="51"/>
      <c r="L231" s="52" t="s">
        <v>426</v>
      </c>
      <c r="M231" s="51"/>
      <c r="N231" s="51"/>
      <c r="O231" s="53" t="s">
        <v>233</v>
      </c>
      <c r="P231" s="54" t="s">
        <v>377</v>
      </c>
      <c r="Q231" s="55"/>
      <c r="R231" s="53"/>
      <c r="S231" s="53"/>
      <c r="T231" s="56"/>
      <c r="U231" s="53"/>
    </row>
    <row r="232" spans="1:22" x14ac:dyDescent="0.15">
      <c r="J232" s="51" t="s">
        <v>424</v>
      </c>
      <c r="K232" s="51"/>
      <c r="L232" s="52" t="s">
        <v>427</v>
      </c>
      <c r="M232" s="51"/>
      <c r="N232" s="51"/>
      <c r="O232" s="53" t="s">
        <v>233</v>
      </c>
      <c r="P232" s="54" t="s">
        <v>377</v>
      </c>
      <c r="Q232" s="55"/>
      <c r="R232" s="53"/>
      <c r="S232" s="53"/>
      <c r="T232" s="56"/>
      <c r="U232" s="53"/>
    </row>
    <row r="233" spans="1:22" x14ac:dyDescent="0.15">
      <c r="J233" s="51" t="s">
        <v>424</v>
      </c>
      <c r="K233" s="51"/>
      <c r="L233" s="52" t="s">
        <v>428</v>
      </c>
      <c r="M233" s="51"/>
      <c r="N233" s="51"/>
      <c r="O233" s="53" t="s">
        <v>233</v>
      </c>
      <c r="P233" s="54" t="s">
        <v>377</v>
      </c>
      <c r="Q233" s="55"/>
      <c r="R233" s="53"/>
      <c r="S233" s="53"/>
      <c r="T233" s="56"/>
      <c r="U233" s="53"/>
    </row>
    <row r="234" spans="1:22" x14ac:dyDescent="0.15">
      <c r="J234" s="51" t="s">
        <v>424</v>
      </c>
      <c r="K234" s="51"/>
      <c r="L234" s="52" t="s">
        <v>429</v>
      </c>
      <c r="M234" s="51"/>
      <c r="N234" s="51"/>
      <c r="O234" s="53" t="s">
        <v>233</v>
      </c>
      <c r="P234" s="54" t="s">
        <v>377</v>
      </c>
      <c r="Q234" s="55"/>
      <c r="R234" s="53"/>
      <c r="S234" s="53"/>
      <c r="T234" s="56"/>
      <c r="U234" s="53"/>
    </row>
    <row r="235" spans="1:22" x14ac:dyDescent="0.15">
      <c r="J235" s="51" t="s">
        <v>424</v>
      </c>
      <c r="K235" s="51"/>
      <c r="L235" s="52" t="s">
        <v>430</v>
      </c>
      <c r="M235" s="51"/>
      <c r="N235" s="51"/>
      <c r="O235" s="53" t="s">
        <v>233</v>
      </c>
      <c r="P235" s="54" t="s">
        <v>377</v>
      </c>
      <c r="Q235" s="55"/>
      <c r="R235" s="53"/>
      <c r="S235" s="53"/>
      <c r="T235" s="56"/>
      <c r="U235" s="53"/>
    </row>
    <row r="236" spans="1:22" x14ac:dyDescent="0.15">
      <c r="J236" s="51" t="s">
        <v>424</v>
      </c>
      <c r="K236" s="51"/>
      <c r="L236" s="52" t="s">
        <v>431</v>
      </c>
      <c r="M236" s="51"/>
      <c r="N236" s="51"/>
      <c r="O236" s="53" t="s">
        <v>233</v>
      </c>
      <c r="P236" s="54" t="s">
        <v>377</v>
      </c>
      <c r="Q236" s="55"/>
      <c r="R236" s="53"/>
      <c r="S236" s="53"/>
      <c r="T236" s="56"/>
      <c r="U236" s="53"/>
    </row>
    <row r="237" spans="1:22" x14ac:dyDescent="0.15">
      <c r="J237" s="51" t="s">
        <v>424</v>
      </c>
      <c r="K237" s="51"/>
      <c r="L237" s="52" t="s">
        <v>432</v>
      </c>
      <c r="M237" s="51"/>
      <c r="N237" s="51"/>
      <c r="O237" s="53" t="s">
        <v>233</v>
      </c>
      <c r="P237" s="54" t="s">
        <v>377</v>
      </c>
      <c r="Q237" s="55"/>
      <c r="R237" s="53"/>
      <c r="S237" s="53"/>
      <c r="T237" s="56"/>
      <c r="U237" s="53"/>
    </row>
    <row r="238" spans="1:22" x14ac:dyDescent="0.15">
      <c r="J238" s="51" t="s">
        <v>424</v>
      </c>
      <c r="K238" s="51"/>
      <c r="L238" s="52" t="s">
        <v>433</v>
      </c>
      <c r="M238" s="51"/>
      <c r="N238" s="51"/>
      <c r="O238" s="53" t="s">
        <v>233</v>
      </c>
      <c r="P238" s="54" t="s">
        <v>377</v>
      </c>
      <c r="Q238" s="55"/>
      <c r="R238" s="53"/>
      <c r="S238" s="53"/>
      <c r="T238" s="56"/>
      <c r="U238" s="53"/>
    </row>
    <row r="239" spans="1:22" x14ac:dyDescent="0.15">
      <c r="J239" s="51" t="s">
        <v>424</v>
      </c>
      <c r="K239" s="51"/>
      <c r="L239" s="52" t="s">
        <v>434</v>
      </c>
      <c r="M239" s="51"/>
      <c r="N239" s="51"/>
      <c r="O239" s="53" t="s">
        <v>233</v>
      </c>
      <c r="P239" s="54" t="s">
        <v>377</v>
      </c>
      <c r="Q239" s="55"/>
      <c r="R239" s="53"/>
      <c r="S239" s="53"/>
      <c r="T239" s="56"/>
      <c r="U239" s="53"/>
    </row>
    <row r="240" spans="1:22" x14ac:dyDescent="0.15">
      <c r="J240" s="51" t="s">
        <v>424</v>
      </c>
      <c r="K240" s="51"/>
      <c r="L240" s="52" t="s">
        <v>435</v>
      </c>
      <c r="M240" s="51"/>
      <c r="N240" s="51"/>
      <c r="O240" s="53" t="s">
        <v>233</v>
      </c>
      <c r="P240" s="54" t="s">
        <v>377</v>
      </c>
      <c r="Q240" s="55"/>
      <c r="R240" s="53"/>
      <c r="S240" s="53"/>
      <c r="T240" s="56"/>
      <c r="U240" s="53"/>
    </row>
    <row r="241" spans="10:21" x14ac:dyDescent="0.15">
      <c r="J241" s="51" t="s">
        <v>424</v>
      </c>
      <c r="K241" s="51"/>
      <c r="L241" s="52" t="s">
        <v>436</v>
      </c>
      <c r="M241" s="51"/>
      <c r="N241" s="51"/>
      <c r="O241" s="53" t="s">
        <v>233</v>
      </c>
      <c r="P241" s="54" t="s">
        <v>377</v>
      </c>
      <c r="Q241" s="55" t="s">
        <v>387</v>
      </c>
      <c r="R241" s="53"/>
      <c r="S241" s="53"/>
      <c r="T241" s="56"/>
      <c r="U241" s="53" t="s">
        <v>471</v>
      </c>
    </row>
    <row r="242" spans="10:21" x14ac:dyDescent="0.15">
      <c r="J242" s="51" t="s">
        <v>424</v>
      </c>
      <c r="K242" s="51"/>
      <c r="L242" s="52" t="s">
        <v>437</v>
      </c>
      <c r="M242" s="51"/>
      <c r="N242" s="51"/>
      <c r="O242" s="53" t="s">
        <v>233</v>
      </c>
      <c r="P242" s="54" t="s">
        <v>377</v>
      </c>
      <c r="Q242" s="55"/>
      <c r="R242" s="53"/>
      <c r="S242" s="53"/>
      <c r="T242" s="56"/>
      <c r="U242" s="53"/>
    </row>
    <row r="243" spans="10:21" x14ac:dyDescent="0.15">
      <c r="J243" s="51" t="s">
        <v>424</v>
      </c>
      <c r="K243" s="51"/>
      <c r="L243" s="52" t="s">
        <v>438</v>
      </c>
      <c r="M243" s="51"/>
      <c r="N243" s="51"/>
      <c r="O243" s="53" t="s">
        <v>233</v>
      </c>
      <c r="P243" s="54" t="s">
        <v>377</v>
      </c>
      <c r="Q243" s="55"/>
      <c r="R243" s="53"/>
      <c r="S243" s="53"/>
      <c r="T243" s="56"/>
      <c r="U243" s="53"/>
    </row>
    <row r="244" spans="10:21" x14ac:dyDescent="0.15">
      <c r="J244" s="51" t="s">
        <v>424</v>
      </c>
      <c r="K244" s="51"/>
      <c r="L244" s="52" t="s">
        <v>439</v>
      </c>
      <c r="M244" s="51"/>
      <c r="N244" s="51"/>
      <c r="O244" s="53" t="s">
        <v>233</v>
      </c>
      <c r="P244" s="54" t="s">
        <v>377</v>
      </c>
      <c r="Q244" s="55"/>
      <c r="R244" s="53"/>
      <c r="S244" s="53"/>
      <c r="T244" s="56"/>
      <c r="U244" s="53"/>
    </row>
    <row r="245" spans="10:21" x14ac:dyDescent="0.15">
      <c r="J245" s="51" t="s">
        <v>424</v>
      </c>
      <c r="K245" s="51"/>
      <c r="L245" s="52" t="s">
        <v>440</v>
      </c>
      <c r="M245" s="51"/>
      <c r="N245" s="51"/>
      <c r="O245" s="53" t="s">
        <v>233</v>
      </c>
      <c r="P245" s="54" t="s">
        <v>377</v>
      </c>
      <c r="Q245" s="55"/>
      <c r="R245" s="53"/>
      <c r="S245" s="53"/>
      <c r="T245" s="56"/>
      <c r="U245" s="53"/>
    </row>
    <row r="246" spans="10:21" x14ac:dyDescent="0.15">
      <c r="J246" s="51" t="s">
        <v>424</v>
      </c>
      <c r="K246" s="51"/>
      <c r="L246" s="52" t="s">
        <v>441</v>
      </c>
      <c r="M246" s="51"/>
      <c r="N246" s="51"/>
      <c r="O246" s="53" t="s">
        <v>233</v>
      </c>
      <c r="P246" s="54" t="s">
        <v>377</v>
      </c>
      <c r="Q246" s="55"/>
      <c r="R246" s="53"/>
      <c r="S246" s="53"/>
      <c r="T246" s="56"/>
      <c r="U246" s="53"/>
    </row>
    <row r="247" spans="10:21" x14ac:dyDescent="0.15">
      <c r="J247" s="51" t="s">
        <v>424</v>
      </c>
      <c r="K247" s="51"/>
      <c r="L247" s="52" t="s">
        <v>442</v>
      </c>
      <c r="M247" s="51"/>
      <c r="N247" s="51"/>
      <c r="O247" s="53" t="s">
        <v>233</v>
      </c>
      <c r="P247" s="54" t="s">
        <v>377</v>
      </c>
      <c r="Q247" s="55"/>
      <c r="R247" s="53"/>
      <c r="S247" s="53"/>
      <c r="T247" s="56"/>
      <c r="U247" s="53"/>
    </row>
    <row r="248" spans="10:21" x14ac:dyDescent="0.15">
      <c r="J248" s="51" t="s">
        <v>424</v>
      </c>
      <c r="K248" s="51"/>
      <c r="L248" s="52" t="s">
        <v>443</v>
      </c>
      <c r="M248" s="51"/>
      <c r="N248" s="51"/>
      <c r="O248" s="53" t="s">
        <v>233</v>
      </c>
      <c r="P248" s="54" t="s">
        <v>377</v>
      </c>
      <c r="Q248" s="55"/>
      <c r="R248" s="53"/>
      <c r="S248" s="53"/>
      <c r="T248" s="56"/>
      <c r="U248" s="53"/>
    </row>
    <row r="249" spans="10:21" x14ac:dyDescent="0.15">
      <c r="J249" s="51" t="s">
        <v>424</v>
      </c>
      <c r="K249" s="51"/>
      <c r="L249" s="52" t="s">
        <v>444</v>
      </c>
      <c r="M249" s="51"/>
      <c r="N249" s="51"/>
      <c r="O249" s="53" t="s">
        <v>233</v>
      </c>
      <c r="P249" s="54" t="s">
        <v>377</v>
      </c>
      <c r="Q249" s="55"/>
      <c r="R249" s="53"/>
      <c r="S249" s="53"/>
      <c r="T249" s="56"/>
      <c r="U249" s="53"/>
    </row>
    <row r="250" spans="10:21" x14ac:dyDescent="0.15">
      <c r="J250" s="51" t="s">
        <v>424</v>
      </c>
      <c r="K250" s="51"/>
      <c r="L250" s="52" t="s">
        <v>445</v>
      </c>
      <c r="M250" s="51"/>
      <c r="N250" s="51"/>
      <c r="O250" s="53" t="s">
        <v>233</v>
      </c>
      <c r="P250" s="54" t="s">
        <v>377</v>
      </c>
      <c r="Q250" s="55"/>
      <c r="R250" s="53"/>
      <c r="S250" s="53"/>
      <c r="T250" s="56"/>
      <c r="U250" s="53"/>
    </row>
    <row r="251" spans="10:21" x14ac:dyDescent="0.15">
      <c r="J251" s="51" t="s">
        <v>424</v>
      </c>
      <c r="K251" s="51"/>
      <c r="L251" s="52" t="s">
        <v>446</v>
      </c>
      <c r="M251" s="51"/>
      <c r="N251" s="51"/>
      <c r="O251" s="53" t="s">
        <v>233</v>
      </c>
      <c r="P251" s="54" t="s">
        <v>377</v>
      </c>
      <c r="Q251" s="55"/>
      <c r="R251" s="53"/>
      <c r="S251" s="53"/>
      <c r="T251" s="56"/>
      <c r="U251" s="53"/>
    </row>
    <row r="252" spans="10:21" x14ac:dyDescent="0.15">
      <c r="J252" s="51" t="s">
        <v>424</v>
      </c>
      <c r="K252" s="51"/>
      <c r="L252" s="52" t="s">
        <v>447</v>
      </c>
      <c r="M252" s="51"/>
      <c r="N252" s="51"/>
      <c r="O252" s="53" t="s">
        <v>233</v>
      </c>
      <c r="P252" s="54" t="s">
        <v>377</v>
      </c>
      <c r="Q252" s="55" t="s">
        <v>387</v>
      </c>
      <c r="R252" s="53"/>
      <c r="S252" s="53"/>
      <c r="T252" s="56"/>
      <c r="U252" s="53" t="s">
        <v>470</v>
      </c>
    </row>
    <row r="253" spans="10:21" x14ac:dyDescent="0.15">
      <c r="J253" s="51" t="s">
        <v>424</v>
      </c>
      <c r="K253" s="51"/>
      <c r="L253" s="52" t="s">
        <v>448</v>
      </c>
      <c r="M253" s="51"/>
      <c r="N253" s="51"/>
      <c r="O253" s="53" t="s">
        <v>233</v>
      </c>
      <c r="P253" s="54" t="s">
        <v>377</v>
      </c>
      <c r="Q253" s="55" t="s">
        <v>387</v>
      </c>
      <c r="R253" s="53"/>
      <c r="S253" s="53"/>
      <c r="T253" s="56"/>
      <c r="U253" s="53" t="s">
        <v>469</v>
      </c>
    </row>
    <row r="254" spans="10:21" x14ac:dyDescent="0.15">
      <c r="J254" s="51" t="s">
        <v>424</v>
      </c>
      <c r="K254" s="51"/>
      <c r="L254" s="52" t="s">
        <v>449</v>
      </c>
      <c r="M254" s="51"/>
      <c r="N254" s="51"/>
      <c r="O254" s="53" t="s">
        <v>233</v>
      </c>
      <c r="P254" s="54" t="s">
        <v>377</v>
      </c>
      <c r="Q254" s="55" t="s">
        <v>387</v>
      </c>
      <c r="R254" s="53"/>
      <c r="S254" s="53"/>
      <c r="T254" s="56"/>
      <c r="U254" s="53" t="s">
        <v>468</v>
      </c>
    </row>
    <row r="255" spans="10:21" x14ac:dyDescent="0.15">
      <c r="J255" s="51" t="s">
        <v>424</v>
      </c>
      <c r="K255" s="51"/>
      <c r="L255" s="52" t="s">
        <v>450</v>
      </c>
      <c r="M255" s="51"/>
      <c r="N255" s="51"/>
      <c r="O255" s="53" t="s">
        <v>233</v>
      </c>
      <c r="P255" s="54" t="s">
        <v>377</v>
      </c>
      <c r="Q255" s="55" t="s">
        <v>387</v>
      </c>
      <c r="R255" s="53"/>
      <c r="S255" s="53"/>
      <c r="T255" s="56"/>
      <c r="U255" s="53" t="s">
        <v>467</v>
      </c>
    </row>
    <row r="256" spans="10:21" x14ac:dyDescent="0.15">
      <c r="J256" s="51" t="s">
        <v>424</v>
      </c>
      <c r="K256" s="51"/>
      <c r="L256" s="52" t="s">
        <v>451</v>
      </c>
      <c r="M256" s="51"/>
      <c r="N256" s="51"/>
      <c r="O256" s="53" t="s">
        <v>233</v>
      </c>
      <c r="P256" s="54" t="s">
        <v>377</v>
      </c>
      <c r="Q256" s="55"/>
      <c r="R256" s="53"/>
      <c r="S256" s="53"/>
      <c r="T256" s="56"/>
      <c r="U256" s="53"/>
    </row>
    <row r="257" spans="10:21" x14ac:dyDescent="0.15">
      <c r="J257" s="51" t="s">
        <v>424</v>
      </c>
      <c r="K257" s="51"/>
      <c r="L257" s="52" t="s">
        <v>452</v>
      </c>
      <c r="M257" s="51"/>
      <c r="N257" s="51"/>
      <c r="O257" s="53" t="s">
        <v>233</v>
      </c>
      <c r="P257" s="54" t="s">
        <v>377</v>
      </c>
      <c r="Q257" s="55"/>
      <c r="R257" s="53"/>
      <c r="S257" s="53"/>
      <c r="T257" s="56"/>
      <c r="U257" s="53"/>
    </row>
    <row r="258" spans="10:21" x14ac:dyDescent="0.15">
      <c r="J258" s="51" t="s">
        <v>424</v>
      </c>
      <c r="K258" s="51"/>
      <c r="L258" s="52" t="s">
        <v>453</v>
      </c>
      <c r="M258" s="51"/>
      <c r="N258" s="51"/>
      <c r="O258" s="53" t="s">
        <v>233</v>
      </c>
      <c r="P258" s="54" t="s">
        <v>377</v>
      </c>
      <c r="Q258" s="55"/>
      <c r="R258" s="53"/>
      <c r="S258" s="53"/>
      <c r="T258" s="56"/>
      <c r="U258" s="53"/>
    </row>
    <row r="259" spans="10:21" x14ac:dyDescent="0.15">
      <c r="J259" s="51" t="s">
        <v>424</v>
      </c>
      <c r="K259" s="51"/>
      <c r="L259" s="52" t="s">
        <v>454</v>
      </c>
      <c r="M259" s="51"/>
      <c r="N259" s="51"/>
      <c r="O259" s="53" t="s">
        <v>233</v>
      </c>
      <c r="P259" s="54" t="s">
        <v>377</v>
      </c>
      <c r="Q259" s="55"/>
      <c r="R259" s="53"/>
      <c r="S259" s="53"/>
      <c r="T259" s="56"/>
      <c r="U259" s="53"/>
    </row>
    <row r="260" spans="10:21" x14ac:dyDescent="0.15">
      <c r="J260" s="51" t="s">
        <v>424</v>
      </c>
      <c r="K260" s="51"/>
      <c r="L260" s="52" t="s">
        <v>455</v>
      </c>
      <c r="M260" s="51"/>
      <c r="N260" s="51"/>
      <c r="O260" s="53" t="s">
        <v>233</v>
      </c>
      <c r="P260" s="54" t="s">
        <v>377</v>
      </c>
      <c r="Q260" s="55"/>
      <c r="R260" s="53"/>
      <c r="S260" s="53"/>
      <c r="T260" s="56"/>
      <c r="U260" s="53"/>
    </row>
    <row r="261" spans="10:21" x14ac:dyDescent="0.15">
      <c r="J261" s="51" t="s">
        <v>424</v>
      </c>
      <c r="K261" s="51"/>
      <c r="L261" s="52" t="s">
        <v>456</v>
      </c>
      <c r="M261" s="51"/>
      <c r="N261" s="51"/>
      <c r="O261" s="53" t="s">
        <v>233</v>
      </c>
      <c r="P261" s="54" t="s">
        <v>377</v>
      </c>
      <c r="Q261" s="55"/>
      <c r="R261" s="53"/>
      <c r="S261" s="53"/>
      <c r="T261" s="56"/>
      <c r="U261" s="53"/>
    </row>
    <row r="262" spans="10:21" x14ac:dyDescent="0.15">
      <c r="J262" s="51" t="s">
        <v>424</v>
      </c>
      <c r="K262" s="51"/>
      <c r="L262" s="52" t="s">
        <v>457</v>
      </c>
      <c r="M262" s="51"/>
      <c r="N262" s="51"/>
      <c r="O262" s="53" t="s">
        <v>233</v>
      </c>
      <c r="P262" s="54" t="s">
        <v>377</v>
      </c>
      <c r="Q262" s="55"/>
      <c r="R262" s="53"/>
      <c r="S262" s="53"/>
      <c r="T262" s="56"/>
      <c r="U262" s="53"/>
    </row>
    <row r="263" spans="10:21" x14ac:dyDescent="0.15">
      <c r="J263" s="51" t="s">
        <v>424</v>
      </c>
      <c r="K263" s="51"/>
      <c r="L263" s="52" t="s">
        <v>458</v>
      </c>
      <c r="M263" s="51"/>
      <c r="N263" s="51"/>
      <c r="O263" s="53" t="s">
        <v>233</v>
      </c>
      <c r="P263" s="54" t="s">
        <v>377</v>
      </c>
      <c r="Q263" s="55"/>
      <c r="R263" s="53"/>
      <c r="S263" s="53"/>
      <c r="T263" s="56"/>
      <c r="U263" s="53"/>
    </row>
    <row r="264" spans="10:21" x14ac:dyDescent="0.15">
      <c r="J264" s="51" t="s">
        <v>424</v>
      </c>
      <c r="K264" s="51"/>
      <c r="L264" s="52" t="s">
        <v>459</v>
      </c>
      <c r="M264" s="51"/>
      <c r="N264" s="51"/>
      <c r="O264" s="53" t="s">
        <v>233</v>
      </c>
      <c r="P264" s="54" t="s">
        <v>377</v>
      </c>
      <c r="Q264" s="55"/>
      <c r="R264" s="53"/>
      <c r="S264" s="53"/>
      <c r="T264" s="56"/>
      <c r="U264" s="53"/>
    </row>
    <row r="265" spans="10:21" x14ac:dyDescent="0.15">
      <c r="J265" s="51" t="s">
        <v>424</v>
      </c>
      <c r="K265" s="51"/>
      <c r="L265" s="52" t="s">
        <v>460</v>
      </c>
      <c r="M265" s="51"/>
      <c r="N265" s="51"/>
      <c r="O265" s="53" t="s">
        <v>233</v>
      </c>
      <c r="P265" s="54" t="s">
        <v>377</v>
      </c>
      <c r="Q265" s="55"/>
      <c r="R265" s="53"/>
      <c r="S265" s="53"/>
      <c r="T265" s="56"/>
      <c r="U265" s="53"/>
    </row>
    <row r="266" spans="10:21" x14ac:dyDescent="0.15">
      <c r="J266" s="51" t="s">
        <v>424</v>
      </c>
      <c r="K266" s="51"/>
      <c r="L266" s="52" t="s">
        <v>461</v>
      </c>
      <c r="M266" s="51"/>
      <c r="N266" s="51"/>
      <c r="O266" s="53" t="s">
        <v>233</v>
      </c>
      <c r="P266" s="54" t="s">
        <v>377</v>
      </c>
      <c r="Q266" s="55"/>
      <c r="R266" s="53"/>
      <c r="S266" s="53"/>
      <c r="T266" s="56"/>
      <c r="U266" s="53"/>
    </row>
    <row r="267" spans="10:21" x14ac:dyDescent="0.15">
      <c r="J267" s="51" t="s">
        <v>424</v>
      </c>
      <c r="K267" s="51"/>
      <c r="L267" s="52" t="s">
        <v>462</v>
      </c>
      <c r="M267" s="51"/>
      <c r="N267" s="51"/>
      <c r="O267" s="53" t="s">
        <v>233</v>
      </c>
      <c r="P267" s="54" t="s">
        <v>377</v>
      </c>
      <c r="Q267" s="55"/>
      <c r="R267" s="53"/>
      <c r="S267" s="53"/>
      <c r="T267" s="56"/>
      <c r="U267" s="53"/>
    </row>
    <row r="268" spans="10:21" x14ac:dyDescent="0.15">
      <c r="J268" s="51" t="s">
        <v>424</v>
      </c>
      <c r="K268" s="51"/>
      <c r="L268" s="52" t="s">
        <v>463</v>
      </c>
      <c r="M268" s="51"/>
      <c r="N268" s="51"/>
      <c r="O268" s="53" t="s">
        <v>233</v>
      </c>
      <c r="P268" s="54" t="s">
        <v>377</v>
      </c>
      <c r="Q268" s="55"/>
      <c r="R268" s="53"/>
      <c r="S268" s="53"/>
      <c r="T268" s="56"/>
      <c r="U268" s="53"/>
    </row>
    <row r="269" spans="10:21" x14ac:dyDescent="0.15">
      <c r="J269" s="51" t="s">
        <v>424</v>
      </c>
      <c r="K269" s="51"/>
      <c r="L269" s="52" t="s">
        <v>464</v>
      </c>
      <c r="M269" s="51"/>
      <c r="N269" s="51"/>
      <c r="O269" s="53" t="s">
        <v>233</v>
      </c>
      <c r="P269" s="54" t="s">
        <v>377</v>
      </c>
      <c r="Q269" s="55"/>
      <c r="R269" s="53"/>
      <c r="S269" s="53"/>
      <c r="T269" s="56"/>
      <c r="U269" s="53"/>
    </row>
    <row r="270" spans="10:21" x14ac:dyDescent="0.15">
      <c r="J270" s="51" t="s">
        <v>424</v>
      </c>
      <c r="K270" s="51"/>
      <c r="L270" s="52" t="s">
        <v>465</v>
      </c>
      <c r="M270" s="51"/>
      <c r="N270" s="51"/>
      <c r="O270" s="53" t="s">
        <v>233</v>
      </c>
      <c r="P270" s="54" t="s">
        <v>377</v>
      </c>
      <c r="Q270" s="55"/>
      <c r="R270" s="53"/>
      <c r="S270" s="53"/>
      <c r="T270" s="56"/>
      <c r="U270" s="53"/>
    </row>
    <row r="271" spans="10:21" x14ac:dyDescent="0.15">
      <c r="J271" s="51" t="s">
        <v>424</v>
      </c>
      <c r="K271" s="51"/>
      <c r="L271" s="52" t="s">
        <v>466</v>
      </c>
      <c r="M271" s="51"/>
      <c r="N271" s="51"/>
      <c r="O271" s="53" t="s">
        <v>233</v>
      </c>
      <c r="P271" s="54" t="s">
        <v>377</v>
      </c>
      <c r="Q271" s="55"/>
      <c r="R271" s="53"/>
      <c r="S271" s="53"/>
      <c r="T271" s="56"/>
      <c r="U271" s="53"/>
    </row>
  </sheetData>
  <phoneticPr fontId="5" type="noConversion"/>
  <conditionalFormatting sqref="L1:L229 L272:L1048576">
    <cfRule type="duplicateValues" dxfId="7" priority="1"/>
  </conditionalFormatting>
  <conditionalFormatting sqref="L2:L226"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</conditionalFormatting>
  <dataValidations count="1">
    <dataValidation type="custom" allowBlank="1" showInputMessage="1" showErrorMessage="1" sqref="N1:O1" xr:uid="{FC04CA5D-1083-4291-BEB9-2B3BB63A40D3}">
      <formula1>"Return or Continue"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5F5783-B2E0-41F8-8E4D-FF1FB76BB6EE}">
          <x14:formula1>
            <xm:f>status!$A$2:$A$11</xm:f>
          </x14:formula1>
          <xm:sqref>Q2 Q19 Q105:Q107 Q42 Q55 Q110:Q112 Q77 Q79 Q71 Q82:Q103 Q150:Q226 Q230:Q271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8EC0-D5FE-4592-9442-04286FBFA25F}">
  <dimension ref="A1:D24"/>
  <sheetViews>
    <sheetView workbookViewId="0">
      <selection activeCell="A2" sqref="A2"/>
    </sheetView>
  </sheetViews>
  <sheetFormatPr defaultRowHeight="14.25" x14ac:dyDescent="0.2"/>
  <cols>
    <col min="1" max="2" width="31.375" customWidth="1"/>
    <col min="3" max="3" width="104" bestFit="1" customWidth="1"/>
    <col min="4" max="4" width="31.375" customWidth="1"/>
  </cols>
  <sheetData>
    <row r="1" spans="1:4" x14ac:dyDescent="0.2">
      <c r="A1" s="42" t="s">
        <v>369</v>
      </c>
      <c r="B1" s="43" t="s">
        <v>378</v>
      </c>
      <c r="C1" s="43" t="s">
        <v>379</v>
      </c>
      <c r="D1" s="44" t="s">
        <v>380</v>
      </c>
    </row>
    <row r="2" spans="1:4" x14ac:dyDescent="0.2">
      <c r="A2" s="35" t="s">
        <v>381</v>
      </c>
      <c r="B2" t="s">
        <v>382</v>
      </c>
      <c r="C2" t="s">
        <v>383</v>
      </c>
      <c r="D2" s="36" t="s">
        <v>376</v>
      </c>
    </row>
    <row r="3" spans="1:4" x14ac:dyDescent="0.2">
      <c r="A3" s="35" t="s">
        <v>384</v>
      </c>
      <c r="B3" t="s">
        <v>385</v>
      </c>
      <c r="C3" t="s">
        <v>386</v>
      </c>
      <c r="D3" s="36" t="s">
        <v>376</v>
      </c>
    </row>
    <row r="4" spans="1:4" x14ac:dyDescent="0.2">
      <c r="A4" s="35" t="s">
        <v>387</v>
      </c>
      <c r="B4" t="s">
        <v>388</v>
      </c>
      <c r="C4" t="s">
        <v>389</v>
      </c>
      <c r="D4" s="36" t="s">
        <v>376</v>
      </c>
    </row>
    <row r="5" spans="1:4" x14ac:dyDescent="0.2">
      <c r="A5" s="35" t="s">
        <v>390</v>
      </c>
      <c r="B5" t="s">
        <v>391</v>
      </c>
      <c r="C5" t="s">
        <v>392</v>
      </c>
      <c r="D5" s="36" t="s">
        <v>376</v>
      </c>
    </row>
    <row r="6" spans="1:4" x14ac:dyDescent="0.2">
      <c r="A6" s="35" t="s">
        <v>393</v>
      </c>
      <c r="B6" t="s">
        <v>394</v>
      </c>
      <c r="C6" t="s">
        <v>395</v>
      </c>
      <c r="D6" s="36" t="s">
        <v>376</v>
      </c>
    </row>
    <row r="7" spans="1:4" x14ac:dyDescent="0.2">
      <c r="A7" s="38" t="s">
        <v>396</v>
      </c>
      <c r="B7" s="37" t="s">
        <v>397</v>
      </c>
      <c r="C7" s="37" t="s">
        <v>398</v>
      </c>
      <c r="D7" s="39" t="s">
        <v>399</v>
      </c>
    </row>
    <row r="8" spans="1:4" x14ac:dyDescent="0.2">
      <c r="A8" t="s">
        <v>400</v>
      </c>
      <c r="B8" t="s">
        <v>401</v>
      </c>
    </row>
    <row r="9" spans="1:4" x14ac:dyDescent="0.2">
      <c r="A9" t="s">
        <v>402</v>
      </c>
      <c r="B9" t="s">
        <v>403</v>
      </c>
      <c r="C9" t="s">
        <v>404</v>
      </c>
      <c r="D9" t="s">
        <v>399</v>
      </c>
    </row>
    <row r="10" spans="1:4" x14ac:dyDescent="0.2">
      <c r="A10" t="s">
        <v>405</v>
      </c>
      <c r="B10" t="s">
        <v>406</v>
      </c>
      <c r="D10" t="s">
        <v>399</v>
      </c>
    </row>
    <row r="11" spans="1:4" x14ac:dyDescent="0.2">
      <c r="A11" t="s">
        <v>407</v>
      </c>
      <c r="B11" t="s">
        <v>408</v>
      </c>
      <c r="D11" t="s">
        <v>399</v>
      </c>
    </row>
    <row r="17" spans="1:3" x14ac:dyDescent="0.2">
      <c r="A17" s="45" t="s">
        <v>409</v>
      </c>
    </row>
    <row r="18" spans="1:3" x14ac:dyDescent="0.2">
      <c r="A18" s="45" t="s">
        <v>410</v>
      </c>
    </row>
    <row r="19" spans="1:3" x14ac:dyDescent="0.2">
      <c r="A19" t="s">
        <v>411</v>
      </c>
      <c r="B19" t="s">
        <v>412</v>
      </c>
      <c r="C19" t="s">
        <v>413</v>
      </c>
    </row>
    <row r="20" spans="1:3" x14ac:dyDescent="0.2">
      <c r="A20" t="s">
        <v>414</v>
      </c>
      <c r="B20" t="s">
        <v>414</v>
      </c>
      <c r="C20" t="s">
        <v>415</v>
      </c>
    </row>
    <row r="21" spans="1:3" x14ac:dyDescent="0.2">
      <c r="A21" t="s">
        <v>416</v>
      </c>
      <c r="B21" t="s">
        <v>416</v>
      </c>
    </row>
    <row r="22" spans="1:3" x14ac:dyDescent="0.2">
      <c r="A22" t="s">
        <v>417</v>
      </c>
      <c r="B22" t="s">
        <v>417</v>
      </c>
    </row>
    <row r="23" spans="1:3" x14ac:dyDescent="0.2">
      <c r="A23" t="s">
        <v>418</v>
      </c>
      <c r="B23" t="s">
        <v>418</v>
      </c>
    </row>
    <row r="24" spans="1:3" x14ac:dyDescent="0.2">
      <c r="A24" t="s">
        <v>419</v>
      </c>
      <c r="B24" t="s">
        <v>420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9D5C-9A3A-421E-966C-94489CF9DCC5}">
  <dimension ref="A1:F23"/>
  <sheetViews>
    <sheetView topLeftCell="A7" workbookViewId="0">
      <selection activeCell="E23" sqref="E23"/>
    </sheetView>
  </sheetViews>
  <sheetFormatPr defaultColWidth="9.125" defaultRowHeight="14.25" x14ac:dyDescent="0.2"/>
  <cols>
    <col min="1" max="1" width="9.125" style="29"/>
    <col min="2" max="2" width="44.625" customWidth="1"/>
    <col min="3" max="3" width="16.875" customWidth="1"/>
    <col min="4" max="4" width="30.625" bestFit="1" customWidth="1"/>
    <col min="5" max="5" width="27.25" customWidth="1"/>
    <col min="6" max="6" width="40.25" bestFit="1" customWidth="1"/>
  </cols>
  <sheetData>
    <row r="1" spans="1:6" ht="15" x14ac:dyDescent="0.2">
      <c r="A1" s="28" t="s">
        <v>278</v>
      </c>
      <c r="B1" s="28" t="s">
        <v>279</v>
      </c>
      <c r="C1" s="28" t="s">
        <v>280</v>
      </c>
      <c r="D1" s="28" t="s">
        <v>281</v>
      </c>
      <c r="E1" s="28" t="s">
        <v>282</v>
      </c>
      <c r="F1" s="28" t="s">
        <v>283</v>
      </c>
    </row>
    <row r="2" spans="1:6" hidden="1" x14ac:dyDescent="0.2">
      <c r="A2" s="27">
        <v>1</v>
      </c>
      <c r="B2" s="24" t="s">
        <v>22</v>
      </c>
      <c r="C2" s="24" t="s">
        <v>284</v>
      </c>
      <c r="D2" s="24" t="s">
        <v>285</v>
      </c>
      <c r="E2" s="24" t="s">
        <v>286</v>
      </c>
      <c r="F2" s="24" t="s">
        <v>286</v>
      </c>
    </row>
    <row r="3" spans="1:6" hidden="1" x14ac:dyDescent="0.2">
      <c r="A3" s="27">
        <v>2</v>
      </c>
      <c r="B3" s="24" t="s">
        <v>238</v>
      </c>
      <c r="C3" s="24" t="s">
        <v>287</v>
      </c>
      <c r="D3" s="24" t="s">
        <v>285</v>
      </c>
      <c r="E3" s="24" t="s">
        <v>286</v>
      </c>
      <c r="F3" s="24" t="s">
        <v>286</v>
      </c>
    </row>
    <row r="4" spans="1:6" x14ac:dyDescent="0.2">
      <c r="A4" s="27">
        <v>3</v>
      </c>
      <c r="B4" s="24" t="s">
        <v>288</v>
      </c>
      <c r="C4" s="24" t="s">
        <v>289</v>
      </c>
      <c r="D4" s="24" t="s">
        <v>290</v>
      </c>
      <c r="E4" s="30" t="s">
        <v>291</v>
      </c>
      <c r="F4" s="24" t="s">
        <v>292</v>
      </c>
    </row>
    <row r="5" spans="1:6" x14ac:dyDescent="0.2">
      <c r="A5" s="27">
        <v>4</v>
      </c>
      <c r="B5" s="24" t="s">
        <v>293</v>
      </c>
      <c r="C5" s="24" t="s">
        <v>294</v>
      </c>
      <c r="D5" s="24" t="s">
        <v>295</v>
      </c>
      <c r="E5" s="30" t="s">
        <v>296</v>
      </c>
      <c r="F5" s="24" t="s">
        <v>292</v>
      </c>
    </row>
    <row r="6" spans="1:6" x14ac:dyDescent="0.2">
      <c r="A6" s="27">
        <v>5</v>
      </c>
      <c r="B6" s="24" t="s">
        <v>297</v>
      </c>
      <c r="C6" s="24" t="s">
        <v>298</v>
      </c>
      <c r="D6" s="24" t="s">
        <v>299</v>
      </c>
      <c r="E6" s="30" t="s">
        <v>300</v>
      </c>
      <c r="F6" s="24" t="s">
        <v>301</v>
      </c>
    </row>
    <row r="7" spans="1:6" x14ac:dyDescent="0.2">
      <c r="A7" s="27">
        <v>6</v>
      </c>
      <c r="B7" s="24" t="s">
        <v>23</v>
      </c>
      <c r="C7" s="24" t="s">
        <v>302</v>
      </c>
      <c r="D7" s="24" t="s">
        <v>303</v>
      </c>
      <c r="E7" s="30" t="s">
        <v>304</v>
      </c>
      <c r="F7" s="24" t="s">
        <v>305</v>
      </c>
    </row>
    <row r="8" spans="1:6" x14ac:dyDescent="0.2">
      <c r="A8" s="27">
        <v>7</v>
      </c>
      <c r="B8" s="24" t="s">
        <v>31</v>
      </c>
      <c r="C8" s="24" t="s">
        <v>306</v>
      </c>
      <c r="D8" s="24" t="s">
        <v>307</v>
      </c>
      <c r="E8" s="30" t="s">
        <v>308</v>
      </c>
      <c r="F8" s="24" t="s">
        <v>309</v>
      </c>
    </row>
    <row r="9" spans="1:6" x14ac:dyDescent="0.2">
      <c r="A9" s="27">
        <v>8</v>
      </c>
      <c r="B9" s="24" t="s">
        <v>310</v>
      </c>
      <c r="C9" s="24" t="s">
        <v>311</v>
      </c>
      <c r="D9" s="24" t="s">
        <v>312</v>
      </c>
      <c r="E9" s="30" t="s">
        <v>313</v>
      </c>
      <c r="F9" s="24" t="s">
        <v>314</v>
      </c>
    </row>
    <row r="10" spans="1:6" x14ac:dyDescent="0.2">
      <c r="A10" s="27">
        <v>9</v>
      </c>
      <c r="B10" s="24" t="s">
        <v>26</v>
      </c>
      <c r="C10" s="24" t="s">
        <v>315</v>
      </c>
      <c r="D10" s="24" t="s">
        <v>316</v>
      </c>
      <c r="E10" s="30" t="s">
        <v>317</v>
      </c>
      <c r="F10" s="24" t="s">
        <v>318</v>
      </c>
    </row>
    <row r="11" spans="1:6" x14ac:dyDescent="0.2">
      <c r="A11" s="27">
        <v>10</v>
      </c>
      <c r="B11" s="24" t="s">
        <v>24</v>
      </c>
      <c r="C11" s="24" t="s">
        <v>319</v>
      </c>
      <c r="D11" s="24" t="s">
        <v>320</v>
      </c>
      <c r="E11" s="30" t="s">
        <v>321</v>
      </c>
      <c r="F11" s="24" t="s">
        <v>322</v>
      </c>
    </row>
    <row r="12" spans="1:6" x14ac:dyDescent="0.2">
      <c r="A12" s="27">
        <v>11</v>
      </c>
      <c r="B12" s="24" t="s">
        <v>323</v>
      </c>
      <c r="C12" s="24" t="s">
        <v>324</v>
      </c>
      <c r="D12" s="24" t="s">
        <v>325</v>
      </c>
      <c r="E12" s="30" t="s">
        <v>326</v>
      </c>
      <c r="F12" s="24" t="s">
        <v>327</v>
      </c>
    </row>
    <row r="13" spans="1:6" x14ac:dyDescent="0.2">
      <c r="A13" s="27">
        <v>12</v>
      </c>
      <c r="B13" s="24" t="s">
        <v>328</v>
      </c>
      <c r="C13" s="24" t="s">
        <v>329</v>
      </c>
      <c r="D13" s="24" t="s">
        <v>330</v>
      </c>
      <c r="E13" s="30" t="s">
        <v>331</v>
      </c>
      <c r="F13" s="24" t="s">
        <v>332</v>
      </c>
    </row>
    <row r="14" spans="1:6" x14ac:dyDescent="0.2">
      <c r="A14" s="27">
        <v>13</v>
      </c>
      <c r="B14" s="24" t="s">
        <v>333</v>
      </c>
      <c r="C14" s="24" t="s">
        <v>334</v>
      </c>
      <c r="D14" s="24" t="s">
        <v>335</v>
      </c>
      <c r="E14" s="30" t="s">
        <v>336</v>
      </c>
      <c r="F14" s="24" t="s">
        <v>337</v>
      </c>
    </row>
    <row r="15" spans="1:6" x14ac:dyDescent="0.2">
      <c r="A15" s="27">
        <v>14</v>
      </c>
      <c r="B15" s="24" t="s">
        <v>236</v>
      </c>
      <c r="C15" s="24" t="s">
        <v>338</v>
      </c>
      <c r="D15" s="24" t="s">
        <v>316</v>
      </c>
      <c r="E15" s="30" t="s">
        <v>317</v>
      </c>
      <c r="F15" s="24" t="s">
        <v>318</v>
      </c>
    </row>
    <row r="16" spans="1:6" ht="16.5" customHeight="1" x14ac:dyDescent="0.2">
      <c r="A16" s="27">
        <v>15</v>
      </c>
      <c r="B16" s="24" t="s">
        <v>25</v>
      </c>
      <c r="C16" s="31" t="s">
        <v>339</v>
      </c>
      <c r="D16" s="24" t="s">
        <v>340</v>
      </c>
      <c r="E16" s="32" t="s">
        <v>341</v>
      </c>
      <c r="F16" s="24" t="s">
        <v>342</v>
      </c>
    </row>
    <row r="17" spans="1:6" x14ac:dyDescent="0.2">
      <c r="A17" s="27">
        <v>16</v>
      </c>
      <c r="B17" s="24" t="s">
        <v>343</v>
      </c>
      <c r="C17" s="24" t="s">
        <v>344</v>
      </c>
      <c r="D17" s="24" t="s">
        <v>345</v>
      </c>
      <c r="E17" s="30" t="s">
        <v>346</v>
      </c>
      <c r="F17" s="24" t="s">
        <v>347</v>
      </c>
    </row>
    <row r="18" spans="1:6" x14ac:dyDescent="0.2">
      <c r="A18" s="27">
        <v>17</v>
      </c>
      <c r="B18" s="24" t="s">
        <v>348</v>
      </c>
      <c r="C18" s="24" t="s">
        <v>349</v>
      </c>
      <c r="D18" s="24" t="s">
        <v>350</v>
      </c>
      <c r="E18" s="30" t="s">
        <v>351</v>
      </c>
      <c r="F18" s="24" t="s">
        <v>352</v>
      </c>
    </row>
    <row r="19" spans="1:6" x14ac:dyDescent="0.2">
      <c r="A19" s="27">
        <v>18</v>
      </c>
      <c r="B19" s="24" t="s">
        <v>30</v>
      </c>
      <c r="C19" s="24" t="s">
        <v>353</v>
      </c>
      <c r="D19" s="24" t="s">
        <v>354</v>
      </c>
      <c r="E19" s="33" t="s">
        <v>355</v>
      </c>
      <c r="F19" s="24" t="s">
        <v>356</v>
      </c>
    </row>
    <row r="20" spans="1:6" x14ac:dyDescent="0.2">
      <c r="A20" s="27">
        <v>19</v>
      </c>
      <c r="B20" s="24" t="s">
        <v>357</v>
      </c>
      <c r="C20" s="24" t="s">
        <v>358</v>
      </c>
      <c r="D20" s="24"/>
      <c r="E20" s="33"/>
      <c r="F20" s="24"/>
    </row>
    <row r="21" spans="1:6" x14ac:dyDescent="0.2">
      <c r="A21" s="27">
        <v>20</v>
      </c>
      <c r="B21" s="24" t="s">
        <v>359</v>
      </c>
      <c r="C21" s="24" t="s">
        <v>360</v>
      </c>
      <c r="D21" s="24" t="s">
        <v>361</v>
      </c>
      <c r="E21" s="30" t="s">
        <v>362</v>
      </c>
      <c r="F21" s="24" t="s">
        <v>363</v>
      </c>
    </row>
    <row r="22" spans="1:6" x14ac:dyDescent="0.2">
      <c r="A22" s="27">
        <v>21</v>
      </c>
      <c r="B22" s="24" t="s">
        <v>364</v>
      </c>
      <c r="C22" s="34" t="s">
        <v>365</v>
      </c>
      <c r="D22" s="24" t="s">
        <v>366</v>
      </c>
      <c r="E22" s="33"/>
      <c r="F22" s="24"/>
    </row>
    <row r="23" spans="1:6" x14ac:dyDescent="0.2">
      <c r="A23" s="27">
        <v>22</v>
      </c>
      <c r="B23" s="24" t="s">
        <v>367</v>
      </c>
      <c r="C23" s="24" t="s">
        <v>368</v>
      </c>
      <c r="D23" s="24" t="s">
        <v>303</v>
      </c>
      <c r="E23" s="30" t="s">
        <v>304</v>
      </c>
      <c r="F23" s="24" t="s">
        <v>305</v>
      </c>
    </row>
  </sheetData>
  <phoneticPr fontId="15" type="noConversion"/>
  <conditionalFormatting sqref="B2:B14 B16:B22">
    <cfRule type="duplicateValues" dxfId="0" priority="1"/>
  </conditionalFormatting>
  <hyperlinks>
    <hyperlink ref="E4" r:id="rId1" xr:uid="{60685E1E-CC66-4637-AC9F-274CF0B6C304}"/>
    <hyperlink ref="E6" r:id="rId2" xr:uid="{132EFABD-337F-443D-ABDB-6ACAEA3281B1}"/>
    <hyperlink ref="E7" r:id="rId3" xr:uid="{85515534-68E4-4F16-9A9D-3290CC36D682}"/>
    <hyperlink ref="E8" r:id="rId4" xr:uid="{C36D9A27-11F9-4E29-9035-1B7EFF5C40B3}"/>
    <hyperlink ref="E9" r:id="rId5" xr:uid="{C54642B1-927B-40F4-A89A-F734B5D7C62B}"/>
    <hyperlink ref="E10" r:id="rId6" xr:uid="{17AE7597-B2BC-4AFE-B242-EE9B6A2E1FF0}"/>
    <hyperlink ref="E12" r:id="rId7" xr:uid="{72B5B329-33BA-49C9-AA56-206FAE6776B9}"/>
    <hyperlink ref="E13" r:id="rId8" xr:uid="{C8530A9E-7B22-4868-9EF2-3282C655B982}"/>
    <hyperlink ref="E14" r:id="rId9" xr:uid="{136DD79F-76E5-4E2D-8A19-655FDB7380C6}"/>
    <hyperlink ref="E15" r:id="rId10" xr:uid="{E97C74C8-E031-4709-A951-68AD23372743}"/>
    <hyperlink ref="E16" r:id="rId11" xr:uid="{11DEC3C9-C2FF-4D4A-BC21-78F970F4A8C4}"/>
    <hyperlink ref="E17" r:id="rId12" xr:uid="{25DCF5E7-F1D8-46FC-A8AF-43EB10463AA3}"/>
    <hyperlink ref="E18" r:id="rId13" xr:uid="{E3D183D5-448C-4CBA-8D4F-89D068DB7D6B}"/>
    <hyperlink ref="E19" r:id="rId14" xr:uid="{269B7C97-F489-423A-B617-27BC7DE6B801}"/>
    <hyperlink ref="E11" r:id="rId15" xr:uid="{8BF0C819-9A0E-4D7D-9C90-59C2A89F05E3}"/>
    <hyperlink ref="E23" r:id="rId16" xr:uid="{C18BC0AE-E6F5-4FE3-8576-1FFD1473AADA}"/>
    <hyperlink ref="E21" r:id="rId17" xr:uid="{D1877F75-F3F4-4B46-ACFE-E5BB869AD34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a2ef4b-6f40-460e-b086-0dbf007f09d7" xsi:nil="true"/>
    <lcf76f155ced4ddcb4097134ff3c332f xmlns="d840b8b2-31d9-476f-9771-4d6a97a394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E7F12F9C840E428155A2AEEB4EDE5D" ma:contentTypeVersion="17" ma:contentTypeDescription="Create a new document." ma:contentTypeScope="" ma:versionID="6adb53895e004f43a319a00de598e36a">
  <xsd:schema xmlns:xsd="http://www.w3.org/2001/XMLSchema" xmlns:xs="http://www.w3.org/2001/XMLSchema" xmlns:p="http://schemas.microsoft.com/office/2006/metadata/properties" xmlns:ns2="d840b8b2-31d9-476f-9771-4d6a97a39477" xmlns:ns3="e7a2ef4b-6f40-460e-b086-0dbf007f09d7" targetNamespace="http://schemas.microsoft.com/office/2006/metadata/properties" ma:root="true" ma:fieldsID="c4958f95e8057a7688069cbebae3d63e" ns2:_="" ns3:_="">
    <xsd:import namespace="d840b8b2-31d9-476f-9771-4d6a97a39477"/>
    <xsd:import namespace="e7a2ef4b-6f40-460e-b086-0dbf007f09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0b8b2-31d9-476f-9771-4d6a97a39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2ef4b-6f40-460e-b086-0dbf007f09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8" nillable="true" ma:displayName="Taxonomy Catch All Column" ma:hidden="true" ma:list="{11690d78-9578-4941-8157-c430e6c4ee24}" ma:internalName="TaxCatchAll" ma:readOnly="false" ma:showField="CatchAllData" ma:web="e7a2ef4b-6f40-460e-b086-0dbf007f09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1DE5F6-A7E7-4AE2-9D37-EC45814CE8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3F0C79-0B03-47B7-9E18-3FFC7D35C4E6}">
  <ds:schemaRefs>
    <ds:schemaRef ds:uri="http://schemas.microsoft.com/office/2006/metadata/properties"/>
    <ds:schemaRef ds:uri="http://schemas.microsoft.com/office/infopath/2007/PartnerControls"/>
    <ds:schemaRef ds:uri="e7a2ef4b-6f40-460e-b086-0dbf007f09d7"/>
    <ds:schemaRef ds:uri="d840b8b2-31d9-476f-9771-4d6a97a39477"/>
  </ds:schemaRefs>
</ds:datastoreItem>
</file>

<file path=customXml/itemProps3.xml><?xml version="1.0" encoding="utf-8"?>
<ds:datastoreItem xmlns:ds="http://schemas.openxmlformats.org/officeDocument/2006/customXml" ds:itemID="{04E50494-BDE3-488A-BC7F-0ECFA78FB4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0b8b2-31d9-476f-9771-4d6a97a39477"/>
    <ds:schemaRef ds:uri="e7a2ef4b-6f40-460e-b086-0dbf007f0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Pivot</vt:lpstr>
      <vt:lpstr>details</vt:lpstr>
      <vt:lpstr>status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Supatcha Wasasiri</dc:creator>
  <cp:lastModifiedBy>service Centercom</cp:lastModifiedBy>
  <dcterms:created xsi:type="dcterms:W3CDTF">2026-04-08T03:33:25Z</dcterms:created>
  <dcterms:modified xsi:type="dcterms:W3CDTF">2026-05-22T03:40:54Z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0x01010044E7F12F9C840E428155A2AEEB4EDE5D</vt:lpwstr>
  </property>
</Properties>
</file>